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21.xml" ContentType="application/vnd.ms-excel.controlpropertie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ctrlProps/ctrlProp22.xml" ContentType="application/vnd.ms-excel.controlpropertie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trlProps/ctrlProp23.xml" ContentType="application/vnd.ms-excel.controlproperties+xml"/>
  <Override PartName="/xl/comments5.xml" ContentType="application/vnd.openxmlformats-officedocument.spreadsheetml.comments+xml"/>
  <Override PartName="/xl/drawings/drawing9.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6.xml" ContentType="application/vnd.openxmlformats-officedocument.spreadsheetml.comments+xml"/>
  <Override PartName="/xl/drawings/drawing10.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7.xml" ContentType="application/vnd.openxmlformats-officedocument.spreadsheetml.comments+xml"/>
  <Override PartName="/xl/drawings/drawing11.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8.xml" ContentType="application/vnd.openxmlformats-officedocument.spreadsheetml.comments+xml"/>
  <Override PartName="/xl/drawings/drawing12.xml" ContentType="application/vnd.openxmlformats-officedocument.drawing+xml"/>
  <Override PartName="/xl/ctrlProps/ctrlProp38.xml" ContentType="application/vnd.ms-excel.controlpropertie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13.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xfelfs-ts.spring8.or.jp\share\SCM\ScreenInfo\"/>
    </mc:Choice>
  </mc:AlternateContent>
  <xr:revisionPtr revIDLastSave="0" documentId="13_ncr:1_{5D907158-7768-4155-A9D6-EF7338357813}" xr6:coauthVersionLast="47" xr6:coauthVersionMax="47" xr10:uidLastSave="{00000000-0000-0000-0000-000000000000}"/>
  <bookViews>
    <workbookView xWindow="-110" yWindow="-110" windowWidth="19420" windowHeight="10420" tabRatio="985" activeTab="4" xr2:uid="{00000000-000D-0000-FFFF-FFFF00000000}"/>
  </bookViews>
  <sheets>
    <sheet name="Acc" sheetId="1" r:id="rId1"/>
    <sheet name="Acc_Qt" sheetId="28" r:id="rId2"/>
    <sheet name="Acc_ginfo" sheetId="25" r:id="rId3"/>
    <sheet name="SCSS" sheetId="11" r:id="rId4"/>
    <sheet name="SCSS_GigE" sheetId="21" r:id="rId5"/>
    <sheet name="SCSS_GigE_ginfo" sheetId="22" r:id="rId6"/>
    <sheet name="Exp" sheetId="3" r:id="rId7"/>
    <sheet name="Streak" sheetId="9" r:id="rId8"/>
    <sheet name="Gate" sheetId="15" r:id="rId9"/>
    <sheet name="SR" sheetId="20" r:id="rId10"/>
    <sheet name="SR_GigE" sheetId="26" r:id="rId11"/>
    <sheet name="SR_GigE_ginfo" sheetId="24" r:id="rId12"/>
    <sheet name="変更履歴" sheetId="16" r:id="rId13"/>
    <sheet name="Acc動作確認" sheetId="12" r:id="rId14"/>
    <sheet name="SCSS動作確認" sheetId="13" r:id="rId15"/>
    <sheet name="SCSS_GigE動作確認" sheetId="27" r:id="rId16"/>
    <sheet name="メモ" sheetId="6" r:id="rId17"/>
  </sheets>
  <definedNames>
    <definedName name="_xlnm._FilterDatabase" localSheetId="0" hidden="1">Acc!$A$1:$CB$87</definedName>
    <definedName name="_xlnm._FilterDatabase" localSheetId="1" hidden="1">Acc_Qt!$A$1:$CD$73</definedName>
    <definedName name="_xlnm._FilterDatabase" localSheetId="13" hidden="1">Acc動作確認!$A$1:$B$86</definedName>
    <definedName name="_xlnm._FilterDatabase" localSheetId="8" hidden="1">Gate!$A$1:$CB$1</definedName>
    <definedName name="_xlnm._FilterDatabase" localSheetId="3" hidden="1">SCSS!$A$1:$CB$23</definedName>
    <definedName name="_xlnm._FilterDatabase" localSheetId="12" hidden="1">変更履歴!$A$1:$D$331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M23" i="6" l="1"/>
  <c r="M25" i="6" s="1"/>
  <c r="M27" i="6"/>
  <c r="M26" i="6"/>
  <c r="M22" i="6"/>
  <c r="L22" i="6"/>
  <c r="A20" i="12"/>
  <c r="F27" i="6"/>
  <c r="F26" i="6"/>
  <c r="F23" i="6"/>
  <c r="F25" i="6" s="1"/>
  <c r="F22" i="6"/>
  <c r="E22" i="6"/>
  <c r="A3" i="12" l="1"/>
  <c r="A4" i="12"/>
  <c r="A5" i="12"/>
  <c r="A6" i="12"/>
  <c r="A7" i="12"/>
  <c r="A8" i="12"/>
  <c r="A9" i="12"/>
  <c r="A10" i="12"/>
  <c r="A11" i="12"/>
  <c r="A12" i="12"/>
  <c r="A13" i="12"/>
  <c r="A14" i="12"/>
  <c r="A15" i="12"/>
  <c r="A16" i="12"/>
  <c r="A17" i="12"/>
  <c r="A18" i="12"/>
  <c r="A19"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84" i="12"/>
  <c r="A85" i="12"/>
  <c r="A86" i="12"/>
  <c r="B3" i="12"/>
  <c r="B4" i="12"/>
  <c r="B5" i="12"/>
  <c r="B6" i="12"/>
  <c r="B7" i="12"/>
  <c r="B8" i="12"/>
  <c r="B9" i="12"/>
  <c r="B10" i="12"/>
  <c r="B11" i="12"/>
  <c r="B12" i="12"/>
  <c r="B13" i="12"/>
  <c r="B14" i="12"/>
  <c r="B15" i="12"/>
  <c r="B16" i="12"/>
  <c r="B17" i="12"/>
  <c r="B18" i="12"/>
  <c r="B19"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A16" i="13" l="1"/>
  <c r="A17" i="13"/>
  <c r="A18" i="13"/>
  <c r="A19" i="13"/>
  <c r="A20" i="13"/>
  <c r="A21" i="13"/>
  <c r="A22" i="13"/>
  <c r="A23" i="13"/>
  <c r="A24" i="13"/>
  <c r="A25" i="13"/>
  <c r="A3" i="13"/>
  <c r="B3" i="13"/>
  <c r="A4" i="13"/>
  <c r="B4" i="13"/>
  <c r="A5" i="13"/>
  <c r="B5" i="13"/>
  <c r="A6" i="13"/>
  <c r="B6" i="13"/>
  <c r="A7" i="13"/>
  <c r="B7" i="13"/>
  <c r="A8" i="13"/>
  <c r="B8" i="13"/>
  <c r="A9" i="13"/>
  <c r="B9" i="13"/>
  <c r="A10" i="13"/>
  <c r="B10" i="13"/>
  <c r="A11" i="13"/>
  <c r="B11" i="13"/>
  <c r="A13" i="13"/>
  <c r="B13" i="13"/>
  <c r="A14" i="13"/>
  <c r="B14" i="13"/>
  <c r="A15" i="13"/>
  <c r="B15" i="13"/>
  <c r="B2" i="13"/>
  <c r="A2" i="13"/>
  <c r="A2" i="12"/>
  <c r="B2"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SES10RP-7</author>
    <author>kenichi</author>
    <author>saclalog1</author>
    <author>log</author>
    <author>admini</author>
  </authors>
  <commentList>
    <comment ref="P1" authorId="0" shapeId="0" xr:uid="{00000000-0006-0000-0000-000001000000}">
      <text>
        <r>
          <rPr>
            <b/>
            <sz val="9"/>
            <color indexed="81"/>
            <rFont val="ＭＳ Ｐゴシック"/>
            <family val="3"/>
            <charset val="128"/>
          </rPr>
          <t xml:space="preserve">markerのサイズ
単位[mm]
</t>
        </r>
      </text>
    </comment>
    <comment ref="Q1" authorId="1" shapeId="0" xr:uid="{00000000-0006-0000-0000-000002000000}">
      <text>
        <r>
          <rPr>
            <b/>
            <sz val="9"/>
            <color indexed="81"/>
            <rFont val="MS P ゴシック"/>
            <family val="3"/>
            <charset val="128"/>
          </rPr>
          <t xml:space="preserve">for Qt
</t>
        </r>
      </text>
    </comment>
    <comment ref="R1" authorId="2" shapeId="0" xr:uid="{00000000-0006-0000-0000-000003000000}">
      <text>
        <r>
          <rPr>
            <b/>
            <sz val="9"/>
            <color indexed="81"/>
            <rFont val="MS P ゴシック"/>
            <family val="3"/>
            <charset val="128"/>
          </rPr>
          <t>for Qt</t>
        </r>
      </text>
    </comment>
    <comment ref="T1" authorId="2" shapeId="0" xr:uid="{00000000-0006-0000-0000-000004000000}">
      <text>
        <r>
          <rPr>
            <b/>
            <sz val="9"/>
            <color indexed="81"/>
            <rFont val="MS P ゴシック"/>
            <family val="3"/>
            <charset val="128"/>
          </rPr>
          <t xml:space="preserve">for Qt
カメラのport ON/OFFに使用
CAMERALINKにはない
SvocList.srmon-ssbt1-03.ods のO
</t>
        </r>
      </text>
    </comment>
    <comment ref="U1" authorId="2" shapeId="0" xr:uid="{00000000-0006-0000-0000-000005000000}">
      <text>
        <r>
          <rPr>
            <b/>
            <sz val="9"/>
            <color indexed="81"/>
            <rFont val="MS P ゴシック"/>
            <family val="3"/>
            <charset val="128"/>
          </rPr>
          <t xml:space="preserve">for Qt
カメラCLEAR/INSERT
に使用
旧名のままなので注意
SvocList.srmon-ssbt1-01.ods のC
</t>
        </r>
      </text>
    </comment>
    <comment ref="V1" authorId="1" shapeId="0" xr:uid="{00000000-0006-0000-0000-000006000000}">
      <text>
        <r>
          <rPr>
            <b/>
            <sz val="9"/>
            <color indexed="81"/>
            <rFont val="MS P ゴシック"/>
            <family val="3"/>
            <charset val="128"/>
          </rPr>
          <t xml:space="preserve">for Qt
LEDの点灯ステータス
空欄のところはステータス信号がない
</t>
        </r>
      </text>
    </comment>
    <comment ref="AI1" authorId="1" shapeId="0" xr:uid="{00000000-0006-0000-0000-000007000000}">
      <text>
        <r>
          <rPr>
            <b/>
            <sz val="9"/>
            <color indexed="81"/>
            <rFont val="MS P ゴシック"/>
            <family val="3"/>
            <charset val="128"/>
          </rPr>
          <t>for Qt GUI</t>
        </r>
      </text>
    </comment>
    <comment ref="AJ1" authorId="1" shapeId="0" xr:uid="{00000000-0006-0000-0000-000008000000}">
      <text>
        <r>
          <rPr>
            <b/>
            <sz val="9"/>
            <color indexed="81"/>
            <rFont val="MS P ゴシック"/>
            <family val="3"/>
            <charset val="128"/>
          </rPr>
          <t>for Qt GUI</t>
        </r>
      </text>
    </comment>
    <comment ref="AK1" authorId="1" shapeId="0" xr:uid="{00000000-0006-0000-0000-000009000000}">
      <text>
        <r>
          <rPr>
            <b/>
            <sz val="9"/>
            <color indexed="81"/>
            <rFont val="MS P ゴシック"/>
            <family val="3"/>
            <charset val="128"/>
          </rPr>
          <t>for Qt GUI</t>
        </r>
      </text>
    </comment>
    <comment ref="AL1" authorId="1" shapeId="0" xr:uid="{00000000-0006-0000-0000-00000A000000}">
      <text>
        <r>
          <rPr>
            <b/>
            <sz val="9"/>
            <color indexed="81"/>
            <rFont val="MS P ゴシック"/>
            <family val="3"/>
            <charset val="128"/>
          </rPr>
          <t>for Qt GUI</t>
        </r>
      </text>
    </comment>
    <comment ref="AM1" authorId="1" shapeId="0" xr:uid="{00000000-0006-0000-0000-00000B000000}">
      <text>
        <r>
          <rPr>
            <b/>
            <sz val="9"/>
            <color indexed="81"/>
            <rFont val="MS P ゴシック"/>
            <family val="3"/>
            <charset val="128"/>
          </rPr>
          <t>for Qt GUI</t>
        </r>
      </text>
    </comment>
    <comment ref="AT1" authorId="2" shapeId="0" xr:uid="{00000000-0006-0000-0000-00000C000000}">
      <text>
        <r>
          <rPr>
            <b/>
            <sz val="9"/>
            <color indexed="81"/>
            <rFont val="MS P ゴシック"/>
            <family val="3"/>
            <charset val="128"/>
          </rPr>
          <t>カメラ切替時に指定するシャッタースピードは次の表に基づきID番号で指定する
 Shutter_speed A10[] = {
      {0, 60,  "1/60(OFF)"},
   {1, 100, "1/100"},
   {2, 120, "1/120"},
   {3, 250, "1/250"},
   {4, 500, "1/500"},
   {5, 1000, "1/1000"},
   {6, 2000, "1/2000"},
   {7, 4000, "1/4000"},
   {8, 8000, "1/8000"},
   {9, 15000, "1/15000"},
   {10, 25000, "1/25000"},
   {11, 75000, "1/75000"},
   {12, 100000, "1/100000"},
   {13, 150000, "1/150000"},                                 
   {14, 300000, "1/300000"},
 };
 Shutter_speed M4[] = {
      {0, 24,  "1/24(OFF)"},
   {1, 50,  "1/50"},
   {2, 100, "1/100"},
   {3, 200, "1/200"},
   {4, 400, "1/400"},
   {5, 800, "1/800"},
   {6, 1500, "1/1500"},
   {7, 3000, "1/3000"},
   {8, 5500, "1/5500"},
   {9, 10000, "1/10000"},
 };</t>
        </r>
      </text>
    </comment>
    <comment ref="AV1" authorId="1" shapeId="0" xr:uid="{00000000-0006-0000-0000-00000D000000}">
      <text>
        <r>
          <rPr>
            <b/>
            <sz val="9"/>
            <color indexed="81"/>
            <rFont val="MS P ゴシック"/>
            <family val="3"/>
            <charset val="128"/>
          </rPr>
          <t>GigEで使用
GUIでは使用しない
check_aliveでカメラが生きているか確認するプロセスで使用予定</t>
        </r>
      </text>
    </comment>
    <comment ref="F18" authorId="2" shapeId="0" xr:uid="{00000000-0006-0000-0000-00000E000000}">
      <text>
        <r>
          <rPr>
            <b/>
            <sz val="9"/>
            <color indexed="81"/>
            <rFont val="MS P ゴシック"/>
            <family val="3"/>
            <charset val="128"/>
          </rPr>
          <t>2016/8/2
ターゲットを新品に交換</t>
        </r>
      </text>
    </comment>
    <comment ref="A24" authorId="0" shapeId="0" xr:uid="{00000000-0006-0000-0000-00000F000000}">
      <text>
        <r>
          <rPr>
            <b/>
            <sz val="9"/>
            <color indexed="81"/>
            <rFont val="ＭＳ Ｐゴシック"/>
            <family val="3"/>
            <charset val="128"/>
          </rPr>
          <t>2015夏　SCSS+ BC2_2でA10のカメラを使いたかったため取外し</t>
        </r>
      </text>
    </comment>
    <comment ref="B25" authorId="2" shapeId="0" xr:uid="{00000000-0006-0000-0000-000010000000}">
      <text>
        <r>
          <rPr>
            <b/>
            <sz val="9"/>
            <color indexed="81"/>
            <rFont val="MS P ゴシック"/>
            <family val="3"/>
            <charset val="128"/>
          </rPr>
          <t xml:space="preserve">カメラなし
</t>
        </r>
      </text>
    </comment>
    <comment ref="B27" authorId="2" shapeId="0" xr:uid="{00000000-0006-0000-0000-000011000000}">
      <text>
        <r>
          <rPr>
            <b/>
            <sz val="9"/>
            <color indexed="81"/>
            <rFont val="MS P ゴシック"/>
            <family val="3"/>
            <charset val="128"/>
          </rPr>
          <t>カメラなし</t>
        </r>
      </text>
    </comment>
    <comment ref="AP28" authorId="1" shapeId="0" xr:uid="{00000000-0006-0000-0000-000012000000}">
      <text>
        <r>
          <rPr>
            <b/>
            <sz val="9"/>
            <color indexed="81"/>
            <rFont val="MS P ゴシック"/>
            <family val="3"/>
            <charset val="128"/>
          </rPr>
          <t>2019夏故障のため撤去</t>
        </r>
      </text>
    </comment>
    <comment ref="E29" authorId="3" shapeId="0" xr:uid="{00000000-0006-0000-0000-000013000000}">
      <text>
        <r>
          <rPr>
            <b/>
            <sz val="9"/>
            <color indexed="81"/>
            <rFont val="ＭＳ Ｐゴシック"/>
            <family val="3"/>
            <charset val="128"/>
          </rPr>
          <t>BIC変更（BT-UN-1 -&gt; MS）
PLC:xfel_mon_plc_bta_1-&gt;xfel_mon_plc_ms</t>
        </r>
      </text>
    </comment>
    <comment ref="J29" authorId="4" shapeId="0" xr:uid="{00000000-0006-0000-0000-000014000000}">
      <text>
        <r>
          <rPr>
            <b/>
            <sz val="9"/>
            <color indexed="81"/>
            <rFont val="ＭＳ Ｐゴシック"/>
            <family val="3"/>
            <charset val="128"/>
          </rPr>
          <t>admini:</t>
        </r>
        <r>
          <rPr>
            <sz val="9"/>
            <color indexed="81"/>
            <rFont val="ＭＳ Ｐゴシック"/>
            <family val="3"/>
            <charset val="128"/>
          </rPr>
          <t xml:space="preserve">
2015/1/26
pixSizeを求め直した
2015/1の停止に光学架台を新品にしたため
2015/4/27
松原氏より新たに連絡があり、9.14-&gt;9.16に修正
</t>
        </r>
      </text>
    </comment>
    <comment ref="K29" authorId="4" shapeId="0" xr:uid="{00000000-0006-0000-0000-000015000000}">
      <text>
        <r>
          <rPr>
            <b/>
            <sz val="9"/>
            <color indexed="81"/>
            <rFont val="ＭＳ Ｐゴシック"/>
            <family val="3"/>
            <charset val="128"/>
          </rPr>
          <t>admini:</t>
        </r>
        <r>
          <rPr>
            <sz val="9"/>
            <color indexed="81"/>
            <rFont val="ＭＳ Ｐゴシック"/>
            <family val="3"/>
            <charset val="128"/>
          </rPr>
          <t xml:space="preserve">
2015/1/26
pixSizeを求め直した
2015/1の停止に光学架台を新品にしたため
2015/4/27
松原氏より新たに連絡があり、9.14-&gt;9.16に修正
</t>
        </r>
      </text>
    </comment>
    <comment ref="AD29" authorId="1" shapeId="0" xr:uid="{00000000-0006-0000-0000-000016000000}">
      <text>
        <r>
          <rPr>
            <b/>
            <sz val="9"/>
            <color indexed="81"/>
            <rFont val="ＭＳ Ｐゴシック"/>
            <family val="3"/>
            <charset val="128"/>
          </rPr>
          <t>kenichi:</t>
        </r>
        <r>
          <rPr>
            <sz val="9"/>
            <color indexed="81"/>
            <rFont val="ＭＳ Ｐゴシック"/>
            <family val="3"/>
            <charset val="128"/>
          </rPr>
          <t xml:space="preserve">
2014夏　変更</t>
        </r>
      </text>
    </comment>
    <comment ref="AD30" authorId="1" shapeId="0" xr:uid="{00000000-0006-0000-0000-000017000000}">
      <text>
        <r>
          <rPr>
            <b/>
            <sz val="9"/>
            <color indexed="81"/>
            <rFont val="ＭＳ Ｐゴシック"/>
            <family val="3"/>
            <charset val="128"/>
          </rPr>
          <t>kenichi:</t>
        </r>
        <r>
          <rPr>
            <sz val="9"/>
            <color indexed="81"/>
            <rFont val="ＭＳ Ｐゴシック"/>
            <family val="3"/>
            <charset val="128"/>
          </rPr>
          <t xml:space="preserve">
2014夏　変更</t>
        </r>
      </text>
    </comment>
    <comment ref="A32" authorId="3" shapeId="0" xr:uid="{00000000-0006-0000-0000-000018000000}">
      <text>
        <r>
          <rPr>
            <b/>
            <sz val="9"/>
            <color indexed="81"/>
            <rFont val="ＭＳ Ｐゴシック"/>
            <family val="3"/>
            <charset val="128"/>
          </rPr>
          <t>2016~2017の停止期間に撤去</t>
        </r>
      </text>
    </comment>
    <comment ref="A33" authorId="3" shapeId="0" xr:uid="{00000000-0006-0000-0000-000019000000}">
      <text>
        <r>
          <rPr>
            <b/>
            <sz val="9"/>
            <color indexed="81"/>
            <rFont val="ＭＳ Ｐゴシック"/>
            <family val="3"/>
            <charset val="128"/>
          </rPr>
          <t>2016~2017の停止期間に撤去</t>
        </r>
      </text>
    </comment>
    <comment ref="B35" authorId="2" shapeId="0" xr:uid="{00000000-0006-0000-0000-00001A000000}">
      <text>
        <r>
          <rPr>
            <b/>
            <sz val="9"/>
            <color indexed="81"/>
            <rFont val="MS P ゴシック"/>
            <family val="3"/>
            <charset val="128"/>
          </rPr>
          <t>2019夏追加</t>
        </r>
      </text>
    </comment>
    <comment ref="I35" authorId="2" shapeId="0" xr:uid="{00000000-0006-0000-0000-00001B000000}">
      <text>
        <r>
          <rPr>
            <b/>
            <sz val="9"/>
            <color indexed="81"/>
            <rFont val="MS P ゴシック"/>
            <family val="3"/>
            <charset val="128"/>
          </rPr>
          <t xml:space="preserve">2019/8/1
新型カメラGO2400設置
</t>
        </r>
      </text>
    </comment>
    <comment ref="A36" authorId="3" shapeId="0" xr:uid="{00000000-0006-0000-0000-00001C000000}">
      <text>
        <r>
          <rPr>
            <b/>
            <sz val="9"/>
            <color indexed="81"/>
            <rFont val="ＭＳ Ｐゴシック"/>
            <family val="3"/>
            <charset val="128"/>
          </rPr>
          <t>2016~2017の停止期間にSCSS+の画像サーバーに移設</t>
        </r>
      </text>
    </comment>
    <comment ref="F36" authorId="2" shapeId="0" xr:uid="{00000000-0006-0000-0000-00001D000000}">
      <text>
        <r>
          <rPr>
            <b/>
            <sz val="9"/>
            <color indexed="81"/>
            <rFont val="MS P ゴシック"/>
            <family val="3"/>
            <charset val="128"/>
          </rPr>
          <t>2016/3/23
Target-&gt;YAG</t>
        </r>
      </text>
    </comment>
    <comment ref="G36" authorId="2" shapeId="0" xr:uid="{00000000-0006-0000-0000-00001E000000}">
      <text>
        <r>
          <rPr>
            <b/>
            <sz val="9"/>
            <color indexed="81"/>
            <rFont val="MS P ゴシック"/>
            <family val="3"/>
            <charset val="128"/>
          </rPr>
          <t>2016/3/23
YAG-&gt;OTR</t>
        </r>
      </text>
    </comment>
    <comment ref="J36" authorId="2" shapeId="0" xr:uid="{00000000-0006-0000-0000-00001F000000}">
      <text>
        <r>
          <rPr>
            <b/>
            <sz val="9"/>
            <color indexed="81"/>
            <rFont val="MS P ゴシック"/>
            <family val="3"/>
            <charset val="128"/>
          </rPr>
          <t>2016/3/28
ターゲット交換に伴うピント再調整
2.6-&gt;2.96</t>
        </r>
      </text>
    </comment>
    <comment ref="K36" authorId="2" shapeId="0" xr:uid="{00000000-0006-0000-0000-000020000000}">
      <text>
        <r>
          <rPr>
            <b/>
            <sz val="9"/>
            <color indexed="81"/>
            <rFont val="MS P ゴシック"/>
            <family val="3"/>
            <charset val="128"/>
          </rPr>
          <t>2016/3/28
ターゲット交換に伴うピント再調整
2.6-&gt;2.96</t>
        </r>
      </text>
    </comment>
    <comment ref="AD36" authorId="1" shapeId="0" xr:uid="{00000000-0006-0000-0000-000021000000}">
      <text>
        <r>
          <rPr>
            <b/>
            <sz val="9"/>
            <color indexed="81"/>
            <rFont val="ＭＳ Ｐゴシック"/>
            <family val="3"/>
            <charset val="128"/>
          </rPr>
          <t>kenichi:</t>
        </r>
        <r>
          <rPr>
            <sz val="9"/>
            <color indexed="81"/>
            <rFont val="ＭＳ Ｐゴシック"/>
            <family val="3"/>
            <charset val="128"/>
          </rPr>
          <t xml:space="preserve">
2014夏　変更</t>
        </r>
      </text>
    </comment>
    <comment ref="A37" authorId="3" shapeId="0" xr:uid="{00000000-0006-0000-0000-000022000000}">
      <text>
        <r>
          <rPr>
            <b/>
            <sz val="9"/>
            <color indexed="81"/>
            <rFont val="ＭＳ Ｐゴシック"/>
            <family val="3"/>
            <charset val="128"/>
          </rPr>
          <t>2016~2017の停止期間にSCSS+の画像サーバーに移設</t>
        </r>
      </text>
    </comment>
    <comment ref="A38" authorId="3" shapeId="0" xr:uid="{00000000-0006-0000-0000-000023000000}">
      <text>
        <r>
          <rPr>
            <b/>
            <sz val="9"/>
            <color indexed="81"/>
            <rFont val="ＭＳ Ｐゴシック"/>
            <family val="3"/>
            <charset val="128"/>
          </rPr>
          <t>2016~2017の停止期間にSCSS+の画像サーバーに移設</t>
        </r>
      </text>
    </comment>
    <comment ref="A39" authorId="3" shapeId="0" xr:uid="{00000000-0006-0000-0000-000024000000}">
      <text>
        <r>
          <rPr>
            <b/>
            <sz val="9"/>
            <color indexed="81"/>
            <rFont val="ＭＳ Ｐゴシック"/>
            <family val="3"/>
            <charset val="128"/>
          </rPr>
          <t>2016~2017の停止期間にSCSS+の画像サーバーに移設</t>
        </r>
      </text>
    </comment>
    <comment ref="B39" authorId="1" shapeId="0" xr:uid="{00000000-0006-0000-0000-000025000000}">
      <text>
        <r>
          <rPr>
            <sz val="9"/>
            <color indexed="81"/>
            <rFont val="ＭＳ Ｐゴシック"/>
            <family val="3"/>
            <charset val="128"/>
          </rPr>
          <t>2015夏名前変更
scm_bl1_3_1
から
scm_bl1_3_1_1</t>
        </r>
      </text>
    </comment>
    <comment ref="C39" authorId="1" shapeId="0" xr:uid="{00000000-0006-0000-0000-000026000000}">
      <text>
        <r>
          <rPr>
            <b/>
            <sz val="9"/>
            <color indexed="81"/>
            <rFont val="ＭＳ Ｐゴシック"/>
            <family val="3"/>
            <charset val="128"/>
          </rPr>
          <t>2015夏名前変更
scm_bl1_3_1
から
scm_bl1_3_1_1</t>
        </r>
      </text>
    </comment>
    <comment ref="F39" authorId="2" shapeId="0" xr:uid="{00000000-0006-0000-0000-000027000000}">
      <text>
        <r>
          <rPr>
            <b/>
            <sz val="9"/>
            <color indexed="81"/>
            <rFont val="MS P ゴシック"/>
            <family val="3"/>
            <charset val="128"/>
          </rPr>
          <t>2016夏
ミラーを穴有りから穴なしに交換予定</t>
        </r>
      </text>
    </comment>
    <comment ref="A40" authorId="3" shapeId="0" xr:uid="{00000000-0006-0000-0000-000028000000}">
      <text>
        <r>
          <rPr>
            <b/>
            <sz val="9"/>
            <color indexed="81"/>
            <rFont val="ＭＳ Ｐゴシック"/>
            <family val="3"/>
            <charset val="128"/>
          </rPr>
          <t>2016~2017の停止期間にSCSS+の画像サーバーに移設</t>
        </r>
      </text>
    </comment>
    <comment ref="B40" authorId="1" shapeId="0" xr:uid="{00000000-0006-0000-0000-000029000000}">
      <text>
        <r>
          <rPr>
            <b/>
            <sz val="9"/>
            <color indexed="81"/>
            <rFont val="ＭＳ Ｐゴシック"/>
            <family val="3"/>
            <charset val="128"/>
          </rPr>
          <t>2015夏名前変更
scm_bl1_3_2
から
scm_bl1_3_2_1</t>
        </r>
      </text>
    </comment>
    <comment ref="C40" authorId="1" shapeId="0" xr:uid="{00000000-0006-0000-0000-00002A000000}">
      <text>
        <r>
          <rPr>
            <b/>
            <sz val="9"/>
            <color indexed="81"/>
            <rFont val="ＭＳ Ｐゴシック"/>
            <family val="3"/>
            <charset val="128"/>
          </rPr>
          <t xml:space="preserve">2015夏名前変更
scm_bl1_3_2
から
scm_bl1_3_2_1
</t>
        </r>
      </text>
    </comment>
    <comment ref="A41" authorId="3" shapeId="0" xr:uid="{00000000-0006-0000-0000-00002B000000}">
      <text>
        <r>
          <rPr>
            <b/>
            <sz val="9"/>
            <color indexed="81"/>
            <rFont val="ＭＳ Ｐゴシック"/>
            <family val="3"/>
            <charset val="128"/>
          </rPr>
          <t>2016~2017の停止期間にSCSS+の画像サーバーに移設</t>
        </r>
      </text>
    </comment>
    <comment ref="B41" authorId="4" shapeId="0" xr:uid="{00000000-0006-0000-0000-00002C000000}">
      <text>
        <r>
          <rPr>
            <b/>
            <sz val="9"/>
            <color indexed="81"/>
            <rFont val="ＭＳ Ｐゴシック"/>
            <family val="3"/>
            <charset val="128"/>
          </rPr>
          <t>2015夏名前変更
scm_bl1_3_3
から
scm_bl1_3_2_2</t>
        </r>
      </text>
    </comment>
    <comment ref="C41" authorId="1" shapeId="0" xr:uid="{00000000-0006-0000-0000-00002D000000}">
      <text>
        <r>
          <rPr>
            <b/>
            <sz val="9"/>
            <color indexed="81"/>
            <rFont val="ＭＳ Ｐゴシック"/>
            <family val="3"/>
            <charset val="128"/>
          </rPr>
          <t>2015夏名前変更
scm_bl1_3_3
から
scm_bl1_3_2_2</t>
        </r>
      </text>
    </comment>
    <comment ref="A42" authorId="3" shapeId="0" xr:uid="{00000000-0006-0000-0000-00002E000000}">
      <text>
        <r>
          <rPr>
            <b/>
            <sz val="9"/>
            <color indexed="81"/>
            <rFont val="ＭＳ Ｐゴシック"/>
            <family val="3"/>
            <charset val="128"/>
          </rPr>
          <t xml:space="preserve">2013冬に撤去
</t>
        </r>
      </text>
    </comment>
    <comment ref="A43" authorId="3" shapeId="0" xr:uid="{00000000-0006-0000-0000-00002F000000}">
      <text>
        <r>
          <rPr>
            <b/>
            <sz val="9"/>
            <color indexed="81"/>
            <rFont val="ＭＳ Ｐゴシック"/>
            <family val="3"/>
            <charset val="128"/>
          </rPr>
          <t>2016~2017の停止期間にSCSS+の画像サーバーに移設</t>
        </r>
        <r>
          <rPr>
            <sz val="9"/>
            <color indexed="81"/>
            <rFont val="ＭＳ Ｐゴシック"/>
            <family val="3"/>
            <charset val="128"/>
          </rPr>
          <t xml:space="preserve">
</t>
        </r>
      </text>
    </comment>
    <comment ref="B43" authorId="4" shapeId="0" xr:uid="{00000000-0006-0000-0000-000030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C43" authorId="4" shapeId="0" xr:uid="{00000000-0006-0000-0000-000031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F43" authorId="2" shapeId="0" xr:uid="{00000000-0006-0000-0000-000032000000}">
      <text>
        <r>
          <rPr>
            <b/>
            <sz val="9"/>
            <color indexed="81"/>
            <rFont val="MS P ゴシック"/>
            <family val="3"/>
            <charset val="128"/>
          </rPr>
          <t>2016/3/25
YAG-&gt;OTR</t>
        </r>
      </text>
    </comment>
    <comment ref="J43" authorId="2" shapeId="0" xr:uid="{00000000-0006-0000-0000-000033000000}">
      <text>
        <r>
          <rPr>
            <b/>
            <sz val="9"/>
            <color indexed="81"/>
            <rFont val="MS P ゴシック"/>
            <family val="3"/>
            <charset val="128"/>
          </rPr>
          <t>2016/3/28
ターゲット交換に伴うピント再調整
17.63-&gt;17.54</t>
        </r>
      </text>
    </comment>
    <comment ref="K43" authorId="2" shapeId="0" xr:uid="{00000000-0006-0000-0000-000034000000}">
      <text>
        <r>
          <rPr>
            <b/>
            <sz val="9"/>
            <color indexed="81"/>
            <rFont val="MS P ゴシック"/>
            <family val="3"/>
            <charset val="128"/>
          </rPr>
          <t>2016/3/28
ターゲット交換に伴うピント再調整
17.63-&gt;17.54</t>
        </r>
      </text>
    </comment>
    <comment ref="A44" authorId="3" shapeId="0" xr:uid="{00000000-0006-0000-0000-000035000000}">
      <text>
        <r>
          <rPr>
            <b/>
            <sz val="9"/>
            <color indexed="81"/>
            <rFont val="ＭＳ Ｐゴシック"/>
            <family val="3"/>
            <charset val="128"/>
          </rPr>
          <t>2016~2017の停止期間にSCSS+の画像サーバーに移設</t>
        </r>
      </text>
    </comment>
    <comment ref="B44" authorId="4" shapeId="0" xr:uid="{00000000-0006-0000-0000-000036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C44" authorId="4" shapeId="0" xr:uid="{00000000-0006-0000-0000-000037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J44" authorId="2" shapeId="0" xr:uid="{00000000-0006-0000-0000-000038000000}">
      <text>
        <r>
          <rPr>
            <b/>
            <sz val="9"/>
            <color indexed="81"/>
            <rFont val="MS P ゴシック"/>
            <family val="3"/>
            <charset val="128"/>
          </rPr>
          <t>2016/11/21 松原よりメール</t>
        </r>
      </text>
    </comment>
    <comment ref="K44" authorId="2" shapeId="0" xr:uid="{00000000-0006-0000-0000-000039000000}">
      <text>
        <r>
          <rPr>
            <b/>
            <sz val="9"/>
            <color indexed="81"/>
            <rFont val="MS P ゴシック"/>
            <family val="3"/>
            <charset val="128"/>
          </rPr>
          <t>2016/11/21 松原よりメール</t>
        </r>
      </text>
    </comment>
    <comment ref="A45" authorId="3" shapeId="0" xr:uid="{00000000-0006-0000-0000-00003A000000}">
      <text>
        <r>
          <rPr>
            <b/>
            <sz val="9"/>
            <color indexed="81"/>
            <rFont val="ＭＳ Ｐゴシック"/>
            <family val="3"/>
            <charset val="128"/>
          </rPr>
          <t>2016~2017の停止期間にSCSS+の画像サーバーに移設</t>
        </r>
      </text>
    </comment>
    <comment ref="B45" authorId="4" shapeId="0" xr:uid="{00000000-0006-0000-0000-00003B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C45" authorId="4" shapeId="0" xr:uid="{00000000-0006-0000-0000-00003C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J45" authorId="2" shapeId="0" xr:uid="{00000000-0006-0000-0000-00003D000000}">
      <text>
        <r>
          <rPr>
            <b/>
            <sz val="9"/>
            <color indexed="81"/>
            <rFont val="MS P ゴシック"/>
            <family val="3"/>
            <charset val="128"/>
          </rPr>
          <t>2016/11/21 松原よりメール</t>
        </r>
      </text>
    </comment>
    <comment ref="K45" authorId="2" shapeId="0" xr:uid="{00000000-0006-0000-0000-00003E000000}">
      <text>
        <r>
          <rPr>
            <b/>
            <sz val="9"/>
            <color indexed="81"/>
            <rFont val="MS P ゴシック"/>
            <family val="3"/>
            <charset val="128"/>
          </rPr>
          <t>2016/11/21 松原よりメール</t>
        </r>
      </text>
    </comment>
    <comment ref="A46" authorId="3" shapeId="0" xr:uid="{00000000-0006-0000-0000-00003F000000}">
      <text>
        <r>
          <rPr>
            <b/>
            <sz val="9"/>
            <color indexed="81"/>
            <rFont val="ＭＳ Ｐゴシック"/>
            <family val="3"/>
            <charset val="128"/>
          </rPr>
          <t>2016~2017の停止期間にSCSS+の画像サーバーに移設</t>
        </r>
      </text>
    </comment>
    <comment ref="F46" authorId="0" shapeId="0" xr:uid="{00000000-0006-0000-0000-000040000000}">
      <text>
        <r>
          <rPr>
            <b/>
            <sz val="9"/>
            <color indexed="81"/>
            <rFont val="ＭＳ Ｐゴシック"/>
            <family val="3"/>
            <charset val="128"/>
          </rPr>
          <t>2015/12/23にゲートカメラの為にシリンダー交換
Target -&gt; Ce:YAG</t>
        </r>
      </text>
    </comment>
    <comment ref="J47" authorId="2" shapeId="0" xr:uid="{00000000-0006-0000-0000-000041000000}">
      <text>
        <r>
          <rPr>
            <b/>
            <sz val="9"/>
            <color indexed="81"/>
            <rFont val="MS P ゴシック"/>
            <family val="3"/>
            <charset val="128"/>
          </rPr>
          <t xml:space="preserve">2017/9/14
松原氏よりメール
新設
</t>
        </r>
      </text>
    </comment>
    <comment ref="K47" authorId="2" shapeId="0" xr:uid="{00000000-0006-0000-0000-000042000000}">
      <text>
        <r>
          <rPr>
            <b/>
            <sz val="9"/>
            <color indexed="81"/>
            <rFont val="MS P ゴシック"/>
            <family val="3"/>
            <charset val="128"/>
          </rPr>
          <t xml:space="preserve">2017/9/14
松原氏よりメール
新設
</t>
        </r>
      </text>
    </comment>
    <comment ref="AH48" authorId="4" shapeId="0" xr:uid="{00000000-0006-0000-0000-000043000000}">
      <text>
        <r>
          <rPr>
            <b/>
            <sz val="9"/>
            <color indexed="81"/>
            <rFont val="ＭＳ Ｐゴシック"/>
            <family val="3"/>
            <charset val="128"/>
          </rPr>
          <t>admini:</t>
        </r>
        <r>
          <rPr>
            <sz val="9"/>
            <color indexed="81"/>
            <rFont val="ＭＳ Ｐゴシック"/>
            <family val="3"/>
            <charset val="128"/>
          </rPr>
          <t xml:space="preserve">
2015/1/25
この高さにセットするとプロファイルが確認できた。</t>
        </r>
      </text>
    </comment>
    <comment ref="B52" authorId="4" shapeId="0" xr:uid="{00000000-0006-0000-0000-000044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C52" authorId="4" shapeId="0" xr:uid="{00000000-0006-0000-0000-000045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B53" authorId="4" shapeId="0" xr:uid="{00000000-0006-0000-0000-000046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C53" authorId="4" shapeId="0" xr:uid="{00000000-0006-0000-0000-000047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B54" authorId="4" shapeId="0" xr:uid="{00000000-0006-0000-0000-000048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C54" authorId="4" shapeId="0" xr:uid="{00000000-0006-0000-0000-000049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J59" authorId="1" shapeId="0" xr:uid="{00000000-0006-0000-0000-00004A000000}">
      <text>
        <r>
          <rPr>
            <b/>
            <sz val="9"/>
            <color indexed="81"/>
            <rFont val="ＭＳ Ｐゴシック"/>
            <family val="3"/>
            <charset val="128"/>
          </rPr>
          <t>2015夏　ID磁場測定の為一旦取外したため再算出
詳細 SCM &amp; Streak 作業と変更の履歴2015/9/1</t>
        </r>
      </text>
    </comment>
    <comment ref="K59" authorId="1" shapeId="0" xr:uid="{00000000-0006-0000-0000-00004B000000}">
      <text>
        <r>
          <rPr>
            <b/>
            <sz val="9"/>
            <color indexed="81"/>
            <rFont val="ＭＳ Ｐゴシック"/>
            <family val="3"/>
            <charset val="128"/>
          </rPr>
          <t>2015夏　ID磁場測定の為一旦取外したため再算出
詳細 SCM &amp; Streak 作業と変更の履歴2015/9/1</t>
        </r>
      </text>
    </comment>
    <comment ref="L59" authorId="1" shapeId="0" xr:uid="{00000000-0006-0000-0000-00004C000000}">
      <text>
        <r>
          <rPr>
            <b/>
            <sz val="9"/>
            <color indexed="81"/>
            <rFont val="ＭＳ Ｐゴシック"/>
            <family val="3"/>
            <charset val="128"/>
          </rPr>
          <t>2015夏　ID磁場測定の為一旦取外したため再算出
詳細 SCM &amp; Streak 作業と変更の履歴2015/9/1</t>
        </r>
      </text>
    </comment>
    <comment ref="M59" authorId="1" shapeId="0" xr:uid="{00000000-0006-0000-0000-00004D000000}">
      <text>
        <r>
          <rPr>
            <b/>
            <sz val="9"/>
            <color indexed="81"/>
            <rFont val="ＭＳ Ｐゴシック"/>
            <family val="3"/>
            <charset val="128"/>
          </rPr>
          <t>2015夏　ID磁場測定の為一旦取外したため再算出
詳細 SCM &amp; Streak 作業と変更の履歴2015/9/1</t>
        </r>
      </text>
    </comment>
    <comment ref="AG59" authorId="1" shapeId="0" xr:uid="{00000000-0006-0000-0000-00004E000000}">
      <text>
        <r>
          <rPr>
            <b/>
            <sz val="9"/>
            <color indexed="81"/>
            <rFont val="ＭＳ Ｐゴシック"/>
            <family val="3"/>
            <charset val="128"/>
          </rPr>
          <t>2015夏　ID磁場測定の為一旦取外したため再算出
詳細 SCM &amp; Streak 作業と変更の履歴2015/9/1</t>
        </r>
      </text>
    </comment>
    <comment ref="F61" authorId="0" shapeId="0" xr:uid="{00000000-0006-0000-0000-00004F000000}">
      <text>
        <r>
          <rPr>
            <b/>
            <sz val="9"/>
            <color indexed="81"/>
            <rFont val="ＭＳ Ｐゴシック"/>
            <family val="3"/>
            <charset val="128"/>
          </rPr>
          <t>ターゲットがCe:YAGとHole（十字ターゲット）の２つが入っている。
普段のinsertではCe:YAGしかみれない。
シリンダーにものを噛ませば十字が見れる</t>
        </r>
      </text>
    </comment>
    <comment ref="J61" authorId="0" shapeId="0" xr:uid="{00000000-0006-0000-0000-000050000000}">
      <text>
        <r>
          <rPr>
            <b/>
            <sz val="9"/>
            <color indexed="81"/>
            <rFont val="ＭＳ Ｐゴシック"/>
            <family val="3"/>
            <charset val="128"/>
          </rPr>
          <t>2015夏　ID磁場測定の為一旦取外したため再算出
詳細 SCM &amp; Streak 作業と変更の履歴2015/9/1</t>
        </r>
      </text>
    </comment>
    <comment ref="K61" authorId="0" shapeId="0" xr:uid="{00000000-0006-0000-0000-000051000000}">
      <text>
        <r>
          <rPr>
            <b/>
            <sz val="9"/>
            <color indexed="81"/>
            <rFont val="ＭＳ Ｐゴシック"/>
            <family val="3"/>
            <charset val="128"/>
          </rPr>
          <t>2015夏　ID磁場測定の為一旦取外したため再算出
詳細 SCM &amp; Streak 作業と変更の履歴2015/9/1</t>
        </r>
      </text>
    </comment>
    <comment ref="L61" authorId="0" shapeId="0" xr:uid="{00000000-0006-0000-0000-000052000000}">
      <text>
        <r>
          <rPr>
            <b/>
            <sz val="9"/>
            <color indexed="81"/>
            <rFont val="ＭＳ Ｐゴシック"/>
            <family val="3"/>
            <charset val="128"/>
          </rPr>
          <t>2015夏　ID磁場測定の為一旦取外したため再算出
詳細 SCM &amp; Streak 作業と変更の履歴2015/9/1</t>
        </r>
      </text>
    </comment>
    <comment ref="M61" authorId="0" shapeId="0" xr:uid="{00000000-0006-0000-0000-000053000000}">
      <text>
        <r>
          <rPr>
            <b/>
            <sz val="9"/>
            <color indexed="81"/>
            <rFont val="ＭＳ Ｐゴシック"/>
            <family val="3"/>
            <charset val="128"/>
          </rPr>
          <t>2015夏　ID磁場測定の為一旦取外したため再算出
詳細 SCM &amp; Streak 作業と変更の履歴2015/9/1</t>
        </r>
      </text>
    </comment>
    <comment ref="AF61" authorId="1" shapeId="0" xr:uid="{00000000-0006-0000-0000-000054000000}">
      <text>
        <r>
          <rPr>
            <b/>
            <sz val="9"/>
            <color indexed="81"/>
            <rFont val="ＭＳ Ｐゴシック"/>
            <family val="3"/>
            <charset val="128"/>
          </rPr>
          <t>2015夏　ID磁場測定の為一旦取外したため再算出
詳細 SCM &amp; Streak 作業と変更の履歴2015/9/1</t>
        </r>
      </text>
    </comment>
    <comment ref="AG61" authorId="1" shapeId="0" xr:uid="{00000000-0006-0000-0000-000055000000}">
      <text>
        <r>
          <rPr>
            <b/>
            <sz val="9"/>
            <color indexed="81"/>
            <rFont val="ＭＳ Ｐゴシック"/>
            <family val="3"/>
            <charset val="128"/>
          </rPr>
          <t>2015夏　ID磁場測定の為一旦取外したため再算出
詳細 SCM &amp; Streak 作業と変更の履歴2015/9/1</t>
        </r>
      </text>
    </comment>
    <comment ref="C63" authorId="4" shapeId="0" xr:uid="{00000000-0006-0000-0000-000056000000}">
      <text>
        <r>
          <rPr>
            <b/>
            <sz val="9"/>
            <color indexed="81"/>
            <rFont val="ＭＳ Ｐゴシック"/>
            <family val="3"/>
            <charset val="128"/>
          </rPr>
          <t xml:space="preserve">旧名称　SCM-BL3-PRDP-1 
</t>
        </r>
        <r>
          <rPr>
            <sz val="9"/>
            <color indexed="81"/>
            <rFont val="ＭＳ Ｐゴシック"/>
            <family val="3"/>
            <charset val="128"/>
          </rPr>
          <t xml:space="preserve">2014~2015の冬停止に名称をbl3-5からbl3-6に変更する予定だったが久保田氏に連絡が行っておらず、bl3-5のままになってしまった。
2015夏、bl3_5 -&gt; bl3_6に名称変更
</t>
        </r>
      </text>
    </comment>
    <comment ref="J84" authorId="2" shapeId="0" xr:uid="{00000000-0006-0000-0000-000057000000}">
      <text>
        <r>
          <rPr>
            <b/>
            <sz val="9"/>
            <color indexed="81"/>
            <rFont val="MS P ゴシック"/>
            <family val="3"/>
            <charset val="128"/>
          </rPr>
          <t>2016/08/24
視野を広げるためLENS,CCD位置調整
1.55 -&gt; 4.16</t>
        </r>
      </text>
    </comment>
    <comment ref="K84" authorId="2" shapeId="0" xr:uid="{00000000-0006-0000-0000-000058000000}">
      <text>
        <r>
          <rPr>
            <b/>
            <sz val="9"/>
            <color indexed="81"/>
            <rFont val="MS P ゴシック"/>
            <family val="3"/>
            <charset val="128"/>
          </rPr>
          <t>2016/08/24
視野を広げるためLENS,CCD位置調整
1.55 -&gt; 4.16</t>
        </r>
      </text>
    </comment>
    <comment ref="L84" authorId="2" shapeId="0" xr:uid="{00000000-0006-0000-0000-000059000000}">
      <text>
        <r>
          <rPr>
            <b/>
            <sz val="9"/>
            <color indexed="81"/>
            <rFont val="MS P ゴシック"/>
            <family val="3"/>
            <charset val="128"/>
          </rPr>
          <t>2016/08/24
視野を広げるためLENS,CCD位置調整
688 -&gt; 698</t>
        </r>
      </text>
    </comment>
    <comment ref="M84" authorId="2" shapeId="0" xr:uid="{00000000-0006-0000-0000-00005A000000}">
      <text>
        <r>
          <rPr>
            <b/>
            <sz val="9"/>
            <color indexed="81"/>
            <rFont val="MS P ゴシック"/>
            <family val="3"/>
            <charset val="128"/>
          </rPr>
          <t>2016/08/24
視野を広げるためLENS,CCD位置調整
515 -&gt; 548</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saclalog1</author>
    <author>kenichi</author>
    <author>SES10RP-7</author>
    <author>Windows User</author>
    <author>log</author>
    <author>admini</author>
  </authors>
  <commentList>
    <comment ref="B1" authorId="0" shapeId="0" xr:uid="{00000000-0006-0000-0100-000001000000}">
      <text>
        <r>
          <rPr>
            <b/>
            <sz val="9"/>
            <color indexed="81"/>
            <rFont val="MS P ゴシック"/>
            <family val="3"/>
            <charset val="128"/>
          </rPr>
          <t>電源の切入に使用
SvocList.srmon-ssbt1-03.ods のO</t>
        </r>
      </text>
    </comment>
    <comment ref="C1" authorId="0" shapeId="0" xr:uid="{00000000-0006-0000-0100-000002000000}">
      <text>
        <r>
          <rPr>
            <b/>
            <sz val="9"/>
            <color indexed="81"/>
            <rFont val="MS P ゴシック"/>
            <family val="3"/>
            <charset val="128"/>
          </rPr>
          <t xml:space="preserve">ゲイン、シャッタースピードなどの設定に使用
SvocList.srmon-ssbt1-03.ods のO
</t>
        </r>
      </text>
    </comment>
    <comment ref="D1" authorId="0" shapeId="0" xr:uid="{00000000-0006-0000-0100-000003000000}">
      <text>
        <r>
          <rPr>
            <b/>
            <sz val="9"/>
            <color indexed="81"/>
            <rFont val="MS P ゴシック"/>
            <family val="3"/>
            <charset val="128"/>
          </rPr>
          <t>カメラ切り替えに使用
SvocList.srmon-ssbt1-03.ods のC</t>
        </r>
      </text>
    </comment>
    <comment ref="E1" authorId="1" shapeId="0" xr:uid="{00000000-0006-0000-0100-000004000000}">
      <text>
        <r>
          <rPr>
            <b/>
            <sz val="9"/>
            <color indexed="81"/>
            <rFont val="MS P ゴシック"/>
            <family val="3"/>
            <charset val="128"/>
          </rPr>
          <t>S列のCPU</t>
        </r>
      </text>
    </comment>
    <comment ref="H1" authorId="1" shapeId="0" xr:uid="{00000000-0006-0000-0100-000005000000}">
      <text>
        <r>
          <rPr>
            <b/>
            <sz val="9"/>
            <color indexed="81"/>
            <rFont val="MS P ゴシック"/>
            <family val="3"/>
            <charset val="128"/>
          </rPr>
          <t>3段式のは1or2を記入
2段式のは空欄
タイプの違いはcmd_led欄を参照</t>
        </r>
      </text>
    </comment>
    <comment ref="K1" authorId="1" shapeId="0" xr:uid="{00000000-0006-0000-0100-000006000000}">
      <text>
        <r>
          <rPr>
            <b/>
            <sz val="9"/>
            <color indexed="81"/>
            <rFont val="MS P ゴシック"/>
            <family val="3"/>
            <charset val="128"/>
          </rPr>
          <t>10</t>
        </r>
      </text>
    </comment>
    <comment ref="L1" authorId="1" shapeId="0" xr:uid="{00000000-0006-0000-0100-000007000000}">
      <text>
        <r>
          <rPr>
            <b/>
            <sz val="9"/>
            <color indexed="81"/>
            <rFont val="MS P ゴシック"/>
            <family val="3"/>
            <charset val="128"/>
          </rPr>
          <t>画像左上を原点とする</t>
        </r>
      </text>
    </comment>
    <comment ref="M1" authorId="1" shapeId="0" xr:uid="{00000000-0006-0000-0100-000008000000}">
      <text>
        <r>
          <rPr>
            <b/>
            <sz val="9"/>
            <color indexed="81"/>
            <rFont val="MS P ゴシック"/>
            <family val="3"/>
            <charset val="128"/>
          </rPr>
          <t>画像左上を原点とする</t>
        </r>
      </text>
    </comment>
    <comment ref="P1" authorId="2" shapeId="0" xr:uid="{00000000-0006-0000-0100-000009000000}">
      <text>
        <r>
          <rPr>
            <b/>
            <sz val="9"/>
            <color indexed="81"/>
            <rFont val="ＭＳ Ｐゴシック"/>
            <family val="3"/>
            <charset val="128"/>
          </rPr>
          <t xml:space="preserve">markerのサイズ
単位[mm]
</t>
        </r>
      </text>
    </comment>
    <comment ref="Q1" authorId="0" shapeId="0" xr:uid="{00000000-0006-0000-0100-00000A000000}">
      <text>
        <r>
          <rPr>
            <b/>
            <sz val="9"/>
            <color indexed="81"/>
            <rFont val="MS P ゴシック"/>
            <family val="3"/>
            <charset val="128"/>
          </rPr>
          <t xml:space="preserve">MDAQ、カメラ切り替えに使用
サーバーごとに違うので注意
SvocList.srmon-ssbt1-03.ods のO
</t>
        </r>
      </text>
    </comment>
    <comment ref="R1" authorId="0" shapeId="0" xr:uid="{00000000-0006-0000-0100-00000B000000}">
      <text>
        <r>
          <rPr>
            <b/>
            <sz val="9"/>
            <color indexed="81"/>
            <rFont val="MS P ゴシック"/>
            <family val="3"/>
            <charset val="128"/>
          </rPr>
          <t xml:space="preserve">LED  に使用
</t>
        </r>
      </text>
    </comment>
    <comment ref="S1" authorId="3" shapeId="0" xr:uid="{00000000-0006-0000-0100-00000C000000}">
      <text>
        <r>
          <rPr>
            <b/>
            <sz val="9"/>
            <color indexed="81"/>
            <rFont val="MS P ゴシック"/>
            <family val="3"/>
            <charset val="128"/>
          </rPr>
          <t xml:space="preserve">GUIでは使用してない
SVOC Listの
VMEを制御する関数の引数
</t>
        </r>
      </text>
    </comment>
    <comment ref="T1" authorId="0" shapeId="0" xr:uid="{00000000-0006-0000-0100-00000D000000}">
      <text>
        <r>
          <rPr>
            <b/>
            <sz val="9"/>
            <color indexed="81"/>
            <rFont val="MS P ゴシック"/>
            <family val="3"/>
            <charset val="128"/>
          </rPr>
          <t xml:space="preserve">for Qt
カメラのport ON/OFFに使用
CAMERALINKにはない
SvocList.srmon-ssbt1-03.ods のO
</t>
        </r>
      </text>
    </comment>
    <comment ref="U1" authorId="0" shapeId="0" xr:uid="{00000000-0006-0000-0100-00000E000000}">
      <text>
        <r>
          <rPr>
            <b/>
            <sz val="9"/>
            <color indexed="81"/>
            <rFont val="MS P ゴシック"/>
            <family val="3"/>
            <charset val="128"/>
          </rPr>
          <t xml:space="preserve">for Qt
カメラCLEAR/INSERT
に使用
旧名のままなので注意
SvocList.srmon-ssbt1-01.ods のC
</t>
        </r>
      </text>
    </comment>
    <comment ref="V1" authorId="1" shapeId="0" xr:uid="{00000000-0006-0000-0100-00000F000000}">
      <text>
        <r>
          <rPr>
            <b/>
            <sz val="9"/>
            <color indexed="81"/>
            <rFont val="MS P ゴシック"/>
            <family val="3"/>
            <charset val="128"/>
          </rPr>
          <t>for Qt
LEDの点灯ステータス
空欄のところはステータス信号がない
cnameと同じなので
いずれ藤一する？</t>
        </r>
      </text>
    </comment>
    <comment ref="AE1" authorId="1" shapeId="0" xr:uid="{00000000-0006-0000-0100-000010000000}">
      <text>
        <r>
          <rPr>
            <b/>
            <sz val="9"/>
            <color indexed="81"/>
            <rFont val="MS P ゴシック"/>
            <family val="3"/>
            <charset val="128"/>
          </rPr>
          <t xml:space="preserve">30
</t>
        </r>
      </text>
    </comment>
    <comment ref="AI1" authorId="1" shapeId="0" xr:uid="{00000000-0006-0000-0100-000011000000}">
      <text>
        <r>
          <rPr>
            <b/>
            <sz val="9"/>
            <color indexed="81"/>
            <rFont val="MS P ゴシック"/>
            <family val="3"/>
            <charset val="128"/>
          </rPr>
          <t>for Qt GUI</t>
        </r>
      </text>
    </comment>
    <comment ref="AJ1" authorId="1" shapeId="0" xr:uid="{00000000-0006-0000-0100-000012000000}">
      <text>
        <r>
          <rPr>
            <b/>
            <sz val="9"/>
            <color indexed="81"/>
            <rFont val="MS P ゴシック"/>
            <family val="3"/>
            <charset val="128"/>
          </rPr>
          <t>for Qt GUI</t>
        </r>
      </text>
    </comment>
    <comment ref="AK1" authorId="1" shapeId="0" xr:uid="{00000000-0006-0000-0100-000013000000}">
      <text>
        <r>
          <rPr>
            <b/>
            <sz val="9"/>
            <color indexed="81"/>
            <rFont val="MS P ゴシック"/>
            <family val="3"/>
            <charset val="128"/>
          </rPr>
          <t>for Qt GUI</t>
        </r>
      </text>
    </comment>
    <comment ref="AL1" authorId="1" shapeId="0" xr:uid="{00000000-0006-0000-0100-000014000000}">
      <text>
        <r>
          <rPr>
            <b/>
            <sz val="9"/>
            <color indexed="81"/>
            <rFont val="MS P ゴシック"/>
            <family val="3"/>
            <charset val="128"/>
          </rPr>
          <t>for Qt GUI</t>
        </r>
      </text>
    </comment>
    <comment ref="AM1" authorId="1" shapeId="0" xr:uid="{00000000-0006-0000-0100-000015000000}">
      <text>
        <r>
          <rPr>
            <b/>
            <sz val="9"/>
            <color indexed="81"/>
            <rFont val="MS P ゴシック"/>
            <family val="3"/>
            <charset val="128"/>
          </rPr>
          <t>for Qt GUI</t>
        </r>
      </text>
    </comment>
    <comment ref="AS1" authorId="1" shapeId="0" xr:uid="{00000000-0006-0000-0100-000016000000}">
      <text>
        <r>
          <rPr>
            <b/>
            <sz val="9"/>
            <color indexed="81"/>
            <rFont val="MS P ゴシック"/>
            <family val="3"/>
            <charset val="128"/>
          </rPr>
          <t>一応用意したがGUIから投げるようにはしていない</t>
        </r>
      </text>
    </comment>
    <comment ref="AT1" authorId="0" shapeId="0" xr:uid="{00000000-0006-0000-0100-000017000000}">
      <text>
        <r>
          <rPr>
            <b/>
            <sz val="9"/>
            <color indexed="81"/>
            <rFont val="MS P ゴシック"/>
            <family val="3"/>
            <charset val="128"/>
          </rPr>
          <t>SACLA,SCSS+と違い
直接露光時間を指定
2020/3/16町田氏メールより</t>
        </r>
      </text>
    </comment>
    <comment ref="AU1" authorId="1" shapeId="0" xr:uid="{00000000-0006-0000-0100-000018000000}">
      <text>
        <r>
          <rPr>
            <b/>
            <sz val="9"/>
            <color indexed="81"/>
            <rFont val="MS P ゴシック"/>
            <family val="3"/>
            <charset val="128"/>
          </rPr>
          <t>2020/3/16町田氏メールより</t>
        </r>
      </text>
    </comment>
    <comment ref="AV1" authorId="1" shapeId="0" xr:uid="{00000000-0006-0000-0100-000019000000}">
      <text>
        <r>
          <rPr>
            <b/>
            <sz val="9"/>
            <color indexed="81"/>
            <rFont val="MS P ゴシック"/>
            <family val="3"/>
            <charset val="128"/>
          </rPr>
          <t xml:space="preserve">SCSS+ GigE CameraのDelay
</t>
        </r>
      </text>
    </comment>
    <comment ref="AW1" authorId="1" shapeId="0" xr:uid="{00000000-0006-0000-0100-00001A000000}">
      <text>
        <r>
          <rPr>
            <b/>
            <sz val="9"/>
            <color indexed="81"/>
            <rFont val="MS P ゴシック"/>
            <family val="3"/>
            <charset val="128"/>
          </rPr>
          <t xml:space="preserve">mdaqとcounterボードのリマインダー
※bl1-01のサーバーには2つボードがある
2021/9/27
 時刻合わせを+3にすることでリマインダー0でもOKになった
</t>
        </r>
      </text>
    </comment>
    <comment ref="AX1" authorId="1" shapeId="0" xr:uid="{00000000-0006-0000-0100-00001B000000}">
      <text>
        <r>
          <rPr>
            <b/>
            <sz val="9"/>
            <color indexed="81"/>
            <rFont val="MS P ゴシック"/>
            <family val="3"/>
            <charset val="128"/>
          </rPr>
          <t xml:space="preserve">最上流の238のスクリーンはサチってしまうのでアイリスで絞ることになった
</t>
        </r>
      </text>
    </comment>
    <comment ref="AY1" authorId="1" shapeId="0" xr:uid="{00000000-0006-0000-0100-00001C000000}">
      <text>
        <r>
          <rPr>
            <b/>
            <sz val="9"/>
            <color indexed="81"/>
            <rFont val="MS P ゴシック"/>
            <family val="3"/>
            <charset val="128"/>
          </rPr>
          <t>GUIで計算した値</t>
        </r>
      </text>
    </comment>
    <comment ref="AZ1" authorId="1" shapeId="0" xr:uid="{00000000-0006-0000-0100-00001D000000}">
      <text>
        <r>
          <rPr>
            <b/>
            <sz val="9"/>
            <color indexed="81"/>
            <rFont val="MS P ゴシック"/>
            <family val="3"/>
            <charset val="128"/>
          </rPr>
          <t xml:space="preserve">GUIで計算した値
</t>
        </r>
      </text>
    </comment>
    <comment ref="AY2" authorId="1" shapeId="0" xr:uid="{00000000-0006-0000-0100-00001E000000}">
      <text>
        <r>
          <rPr>
            <b/>
            <sz val="9"/>
            <color indexed="81"/>
            <rFont val="MS P ゴシック"/>
            <family val="3"/>
            <charset val="128"/>
          </rPr>
          <t>ゲイン-50 (元)
シャッタースピード60(元)</t>
        </r>
      </text>
    </comment>
    <comment ref="AY3" authorId="1" shapeId="0" xr:uid="{00000000-0006-0000-0100-00001F000000}">
      <text>
        <r>
          <rPr>
            <b/>
            <sz val="9"/>
            <color indexed="81"/>
            <rFont val="MS P ゴシック"/>
            <family val="3"/>
            <charset val="128"/>
          </rPr>
          <t>シャッタースピード500usで測定</t>
        </r>
      </text>
    </comment>
    <comment ref="F18" authorId="0" shapeId="0" xr:uid="{00000000-0006-0000-0100-000020000000}">
      <text>
        <r>
          <rPr>
            <b/>
            <sz val="9"/>
            <color indexed="81"/>
            <rFont val="MS P ゴシック"/>
            <family val="3"/>
            <charset val="128"/>
          </rPr>
          <t>2016/8/2
ターゲットを新品に交換</t>
        </r>
      </text>
    </comment>
    <comment ref="A23" authorId="2" shapeId="0" xr:uid="{00000000-0006-0000-0100-000021000000}">
      <text>
        <r>
          <rPr>
            <b/>
            <sz val="9"/>
            <color indexed="81"/>
            <rFont val="ＭＳ Ｐゴシック"/>
            <family val="3"/>
            <charset val="128"/>
          </rPr>
          <t>2015夏　SCSS+ BC2_2でA10のカメラを使いたかったため取外し</t>
        </r>
      </text>
    </comment>
    <comment ref="B24" authorId="0" shapeId="0" xr:uid="{00000000-0006-0000-0100-000022000000}">
      <text>
        <r>
          <rPr>
            <b/>
            <sz val="9"/>
            <color indexed="81"/>
            <rFont val="MS P ゴシック"/>
            <family val="3"/>
            <charset val="128"/>
          </rPr>
          <t xml:space="preserve">カメラなし
</t>
        </r>
      </text>
    </comment>
    <comment ref="B26" authorId="0" shapeId="0" xr:uid="{00000000-0006-0000-0100-000023000000}">
      <text>
        <r>
          <rPr>
            <b/>
            <sz val="9"/>
            <color indexed="81"/>
            <rFont val="MS P ゴシック"/>
            <family val="3"/>
            <charset val="128"/>
          </rPr>
          <t>カメラなし</t>
        </r>
      </text>
    </comment>
    <comment ref="AP27" authorId="1" shapeId="0" xr:uid="{00000000-0006-0000-0100-000024000000}">
      <text>
        <r>
          <rPr>
            <b/>
            <sz val="9"/>
            <color indexed="81"/>
            <rFont val="MS P ゴシック"/>
            <family val="3"/>
            <charset val="128"/>
          </rPr>
          <t>2019夏故障のため撤去</t>
        </r>
      </text>
    </comment>
    <comment ref="E28" authorId="4" shapeId="0" xr:uid="{00000000-0006-0000-0100-000025000000}">
      <text>
        <r>
          <rPr>
            <b/>
            <sz val="9"/>
            <color indexed="81"/>
            <rFont val="ＭＳ Ｐゴシック"/>
            <family val="3"/>
            <charset val="128"/>
          </rPr>
          <t>BIC変更（BT-UN-1 -&gt; MS）
PLC:xfel_mon_plc_bta_1-&gt;xfel_mon_plc_ms</t>
        </r>
      </text>
    </comment>
    <comment ref="J28" authorId="5" shapeId="0" xr:uid="{00000000-0006-0000-0100-000026000000}">
      <text>
        <r>
          <rPr>
            <b/>
            <sz val="9"/>
            <color indexed="81"/>
            <rFont val="ＭＳ Ｐゴシック"/>
            <family val="3"/>
            <charset val="128"/>
          </rPr>
          <t>admini:</t>
        </r>
        <r>
          <rPr>
            <sz val="9"/>
            <color indexed="81"/>
            <rFont val="ＭＳ Ｐゴシック"/>
            <family val="3"/>
            <charset val="128"/>
          </rPr>
          <t xml:space="preserve">
2015/1/26
pixSizeを求め直した
2015/1の停止に光学架台を新品にしたため
2015/4/27
松原氏より新たに連絡があり、9.14-&gt;9.16に修正
</t>
        </r>
      </text>
    </comment>
    <comment ref="K28" authorId="5" shapeId="0" xr:uid="{00000000-0006-0000-0100-000027000000}">
      <text>
        <r>
          <rPr>
            <b/>
            <sz val="9"/>
            <color indexed="81"/>
            <rFont val="ＭＳ Ｐゴシック"/>
            <family val="3"/>
            <charset val="128"/>
          </rPr>
          <t>admini:</t>
        </r>
        <r>
          <rPr>
            <sz val="9"/>
            <color indexed="81"/>
            <rFont val="ＭＳ Ｐゴシック"/>
            <family val="3"/>
            <charset val="128"/>
          </rPr>
          <t xml:space="preserve">
2015/1/26
pixSizeを求め直した
2015/1の停止に光学架台を新品にしたため
2015/4/27
松原氏より新たに連絡があり、9.14-&gt;9.16に修正
</t>
        </r>
      </text>
    </comment>
    <comment ref="AD28" authorId="1" shapeId="0" xr:uid="{00000000-0006-0000-0100-000028000000}">
      <text>
        <r>
          <rPr>
            <b/>
            <sz val="9"/>
            <color indexed="81"/>
            <rFont val="ＭＳ Ｐゴシック"/>
            <family val="3"/>
            <charset val="128"/>
          </rPr>
          <t>kenichi:</t>
        </r>
        <r>
          <rPr>
            <sz val="9"/>
            <color indexed="81"/>
            <rFont val="ＭＳ Ｐゴシック"/>
            <family val="3"/>
            <charset val="128"/>
          </rPr>
          <t xml:space="preserve">
2014夏　変更</t>
        </r>
      </text>
    </comment>
    <comment ref="AD29" authorId="1" shapeId="0" xr:uid="{00000000-0006-0000-0100-000029000000}">
      <text>
        <r>
          <rPr>
            <b/>
            <sz val="9"/>
            <color indexed="81"/>
            <rFont val="ＭＳ Ｐゴシック"/>
            <family val="3"/>
            <charset val="128"/>
          </rPr>
          <t>kenichi:</t>
        </r>
        <r>
          <rPr>
            <sz val="9"/>
            <color indexed="81"/>
            <rFont val="ＭＳ Ｐゴシック"/>
            <family val="3"/>
            <charset val="128"/>
          </rPr>
          <t xml:space="preserve">
2014夏　変更</t>
        </r>
      </text>
    </comment>
    <comment ref="B31" authorId="0" shapeId="0" xr:uid="{00000000-0006-0000-0100-00002A000000}">
      <text>
        <r>
          <rPr>
            <b/>
            <sz val="9"/>
            <color indexed="81"/>
            <rFont val="MS P ゴシック"/>
            <family val="3"/>
            <charset val="128"/>
          </rPr>
          <t>2019夏追加</t>
        </r>
      </text>
    </comment>
    <comment ref="I31" authorId="0" shapeId="0" xr:uid="{00000000-0006-0000-0100-00002B000000}">
      <text>
        <r>
          <rPr>
            <b/>
            <sz val="9"/>
            <color indexed="81"/>
            <rFont val="MS P ゴシック"/>
            <family val="3"/>
            <charset val="128"/>
          </rPr>
          <t xml:space="preserve">2019/8/1
新型カメラGO2400設置
</t>
        </r>
      </text>
    </comment>
    <comment ref="A32" authorId="4" shapeId="0" xr:uid="{00000000-0006-0000-0100-00002C000000}">
      <text>
        <r>
          <rPr>
            <b/>
            <sz val="9"/>
            <color indexed="81"/>
            <rFont val="ＭＳ Ｐゴシック"/>
            <family val="3"/>
            <charset val="128"/>
          </rPr>
          <t>2016~2017の停止期間にSCSS+の画像サーバーに移設</t>
        </r>
      </text>
    </comment>
    <comment ref="F32" authorId="2" shapeId="0" xr:uid="{00000000-0006-0000-0100-00002D000000}">
      <text>
        <r>
          <rPr>
            <b/>
            <sz val="9"/>
            <color indexed="81"/>
            <rFont val="ＭＳ Ｐゴシック"/>
            <family val="3"/>
            <charset val="128"/>
          </rPr>
          <t>2015/12/23にゲートカメラの為にシリンダー交換
Target -&gt; Ce:YAG</t>
        </r>
      </text>
    </comment>
    <comment ref="J33" authorId="0" shapeId="0" xr:uid="{00000000-0006-0000-0100-00002E000000}">
      <text>
        <r>
          <rPr>
            <b/>
            <sz val="9"/>
            <color indexed="81"/>
            <rFont val="MS P ゴシック"/>
            <family val="3"/>
            <charset val="128"/>
          </rPr>
          <t xml:space="preserve">2017/9/14
松原氏よりメール
新設
</t>
        </r>
      </text>
    </comment>
    <comment ref="K33" authorId="0" shapeId="0" xr:uid="{00000000-0006-0000-0100-00002F000000}">
      <text>
        <r>
          <rPr>
            <b/>
            <sz val="9"/>
            <color indexed="81"/>
            <rFont val="MS P ゴシック"/>
            <family val="3"/>
            <charset val="128"/>
          </rPr>
          <t xml:space="preserve">2017/9/14
松原氏よりメール
新設
</t>
        </r>
      </text>
    </comment>
    <comment ref="AH34" authorId="5" shapeId="0" xr:uid="{00000000-0006-0000-0100-000030000000}">
      <text>
        <r>
          <rPr>
            <b/>
            <sz val="9"/>
            <color indexed="81"/>
            <rFont val="ＭＳ Ｐゴシック"/>
            <family val="3"/>
            <charset val="128"/>
          </rPr>
          <t>admini:</t>
        </r>
        <r>
          <rPr>
            <sz val="9"/>
            <color indexed="81"/>
            <rFont val="ＭＳ Ｐゴシック"/>
            <family val="3"/>
            <charset val="128"/>
          </rPr>
          <t xml:space="preserve">
2015/1/25
この高さにセットするとプロファイルが確認できた。</t>
        </r>
      </text>
    </comment>
    <comment ref="B38" authorId="5" shapeId="0" xr:uid="{00000000-0006-0000-0100-000031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C38" authorId="5" shapeId="0" xr:uid="{00000000-0006-0000-0100-000032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B39" authorId="5" shapeId="0" xr:uid="{00000000-0006-0000-0100-000033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C39" authorId="5" shapeId="0" xr:uid="{00000000-0006-0000-0100-000034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B40" authorId="5" shapeId="0" xr:uid="{00000000-0006-0000-0100-000035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C40" authorId="5" shapeId="0" xr:uid="{00000000-0006-0000-0100-000036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J45" authorId="1" shapeId="0" xr:uid="{00000000-0006-0000-0100-000037000000}">
      <text>
        <r>
          <rPr>
            <b/>
            <sz val="9"/>
            <color indexed="81"/>
            <rFont val="ＭＳ Ｐゴシック"/>
            <family val="3"/>
            <charset val="128"/>
          </rPr>
          <t>2015夏　ID磁場測定の為一旦取外したため再算出
詳細 SCM &amp; Streak 作業と変更の履歴2015/9/1</t>
        </r>
      </text>
    </comment>
    <comment ref="K45" authorId="1" shapeId="0" xr:uid="{00000000-0006-0000-0100-000038000000}">
      <text>
        <r>
          <rPr>
            <b/>
            <sz val="9"/>
            <color indexed="81"/>
            <rFont val="ＭＳ Ｐゴシック"/>
            <family val="3"/>
            <charset val="128"/>
          </rPr>
          <t>2015夏　ID磁場測定の為一旦取外したため再算出
詳細 SCM &amp; Streak 作業と変更の履歴2015/9/1</t>
        </r>
      </text>
    </comment>
    <comment ref="L45" authorId="1" shapeId="0" xr:uid="{00000000-0006-0000-0100-000039000000}">
      <text>
        <r>
          <rPr>
            <b/>
            <sz val="9"/>
            <color indexed="81"/>
            <rFont val="ＭＳ Ｐゴシック"/>
            <family val="3"/>
            <charset val="128"/>
          </rPr>
          <t>2015夏　ID磁場測定の為一旦取外したため再算出
詳細 SCM &amp; Streak 作業と変更の履歴2015/9/1</t>
        </r>
      </text>
    </comment>
    <comment ref="M45" authorId="1" shapeId="0" xr:uid="{00000000-0006-0000-0100-00003A000000}">
      <text>
        <r>
          <rPr>
            <b/>
            <sz val="9"/>
            <color indexed="81"/>
            <rFont val="ＭＳ Ｐゴシック"/>
            <family val="3"/>
            <charset val="128"/>
          </rPr>
          <t>2015夏　ID磁場測定の為一旦取外したため再算出
詳細 SCM &amp; Streak 作業と変更の履歴2015/9/1</t>
        </r>
      </text>
    </comment>
    <comment ref="AG45" authorId="1" shapeId="0" xr:uid="{00000000-0006-0000-0100-00003B000000}">
      <text>
        <r>
          <rPr>
            <b/>
            <sz val="9"/>
            <color indexed="81"/>
            <rFont val="ＭＳ Ｐゴシック"/>
            <family val="3"/>
            <charset val="128"/>
          </rPr>
          <t>2015夏　ID磁場測定の為一旦取外したため再算出
詳細 SCM &amp; Streak 作業と変更の履歴2015/9/1</t>
        </r>
      </text>
    </comment>
    <comment ref="F47" authorId="2" shapeId="0" xr:uid="{00000000-0006-0000-0100-00003C000000}">
      <text>
        <r>
          <rPr>
            <b/>
            <sz val="9"/>
            <color indexed="81"/>
            <rFont val="ＭＳ Ｐゴシック"/>
            <family val="3"/>
            <charset val="128"/>
          </rPr>
          <t>ターゲットがCe:YAGとHole（十字ターゲット）の２つが入っている。
普段のinsertではCe:YAGしかみれない。
シリンダーにものを噛ませば十字が見れる</t>
        </r>
      </text>
    </comment>
    <comment ref="J47" authorId="2" shapeId="0" xr:uid="{00000000-0006-0000-0100-00003D000000}">
      <text>
        <r>
          <rPr>
            <b/>
            <sz val="9"/>
            <color indexed="81"/>
            <rFont val="ＭＳ Ｐゴシック"/>
            <family val="3"/>
            <charset val="128"/>
          </rPr>
          <t>2015夏　ID磁場測定の為一旦取外したため再算出
詳細 SCM &amp; Streak 作業と変更の履歴2015/9/1</t>
        </r>
      </text>
    </comment>
    <comment ref="K47" authorId="2" shapeId="0" xr:uid="{00000000-0006-0000-0100-00003E000000}">
      <text>
        <r>
          <rPr>
            <b/>
            <sz val="9"/>
            <color indexed="81"/>
            <rFont val="ＭＳ Ｐゴシック"/>
            <family val="3"/>
            <charset val="128"/>
          </rPr>
          <t>2015夏　ID磁場測定の為一旦取外したため再算出
詳細 SCM &amp; Streak 作業と変更の履歴2015/9/1</t>
        </r>
      </text>
    </comment>
    <comment ref="L47" authorId="2" shapeId="0" xr:uid="{00000000-0006-0000-0100-00003F000000}">
      <text>
        <r>
          <rPr>
            <b/>
            <sz val="9"/>
            <color indexed="81"/>
            <rFont val="ＭＳ Ｐゴシック"/>
            <family val="3"/>
            <charset val="128"/>
          </rPr>
          <t>2015夏　ID磁場測定の為一旦取外したため再算出
詳細 SCM &amp; Streak 作業と変更の履歴2015/9/1</t>
        </r>
      </text>
    </comment>
    <comment ref="M47" authorId="2" shapeId="0" xr:uid="{00000000-0006-0000-0100-000040000000}">
      <text>
        <r>
          <rPr>
            <b/>
            <sz val="9"/>
            <color indexed="81"/>
            <rFont val="ＭＳ Ｐゴシック"/>
            <family val="3"/>
            <charset val="128"/>
          </rPr>
          <t>2015夏　ID磁場測定の為一旦取外したため再算出
詳細 SCM &amp; Streak 作業と変更の履歴2015/9/1</t>
        </r>
      </text>
    </comment>
    <comment ref="AF47" authorId="1" shapeId="0" xr:uid="{00000000-0006-0000-0100-000041000000}">
      <text>
        <r>
          <rPr>
            <b/>
            <sz val="9"/>
            <color indexed="81"/>
            <rFont val="ＭＳ Ｐゴシック"/>
            <family val="3"/>
            <charset val="128"/>
          </rPr>
          <t>2015夏　ID磁場測定の為一旦取外したため再算出
詳細 SCM &amp; Streak 作業と変更の履歴2015/9/1</t>
        </r>
      </text>
    </comment>
    <comment ref="AG47" authorId="1" shapeId="0" xr:uid="{00000000-0006-0000-0100-000042000000}">
      <text>
        <r>
          <rPr>
            <b/>
            <sz val="9"/>
            <color indexed="81"/>
            <rFont val="ＭＳ Ｐゴシック"/>
            <family val="3"/>
            <charset val="128"/>
          </rPr>
          <t>2015夏　ID磁場測定の為一旦取外したため再算出
詳細 SCM &amp; Streak 作業と変更の履歴2015/9/1</t>
        </r>
      </text>
    </comment>
    <comment ref="C49" authorId="5" shapeId="0" xr:uid="{00000000-0006-0000-0100-000043000000}">
      <text>
        <r>
          <rPr>
            <b/>
            <sz val="9"/>
            <color indexed="81"/>
            <rFont val="ＭＳ Ｐゴシック"/>
            <family val="3"/>
            <charset val="128"/>
          </rPr>
          <t xml:space="preserve">旧名称　SCM-BL3-PRDP-1 
</t>
        </r>
        <r>
          <rPr>
            <sz val="9"/>
            <color indexed="81"/>
            <rFont val="ＭＳ Ｐゴシック"/>
            <family val="3"/>
            <charset val="128"/>
          </rPr>
          <t xml:space="preserve">2014~2015の冬停止に名称をbl3-5からbl3-6に変更する予定だったが久保田氏に連絡が行っておらず、bl3-5のままになってしまった。
2015夏、bl3_5 -&gt; bl3_6に名称変更
</t>
        </r>
      </text>
    </comment>
    <comment ref="J70" authorId="0" shapeId="0" xr:uid="{00000000-0006-0000-0100-000044000000}">
      <text>
        <r>
          <rPr>
            <b/>
            <sz val="9"/>
            <color indexed="81"/>
            <rFont val="MS P ゴシック"/>
            <family val="3"/>
            <charset val="128"/>
          </rPr>
          <t>2016/08/24
視野を広げるためLENS,CCD位置調整
1.55 -&gt; 4.16</t>
        </r>
      </text>
    </comment>
    <comment ref="K70" authorId="0" shapeId="0" xr:uid="{00000000-0006-0000-0100-000045000000}">
      <text>
        <r>
          <rPr>
            <b/>
            <sz val="9"/>
            <color indexed="81"/>
            <rFont val="MS P ゴシック"/>
            <family val="3"/>
            <charset val="128"/>
          </rPr>
          <t>2016/08/24
視野を広げるためLENS,CCD位置調整
1.55 -&gt; 4.16</t>
        </r>
      </text>
    </comment>
    <comment ref="L70" authorId="0" shapeId="0" xr:uid="{00000000-0006-0000-0100-000046000000}">
      <text>
        <r>
          <rPr>
            <b/>
            <sz val="9"/>
            <color indexed="81"/>
            <rFont val="MS P ゴシック"/>
            <family val="3"/>
            <charset val="128"/>
          </rPr>
          <t>2016/08/24
視野を広げるためLENS,CCD位置調整
688 -&gt; 698</t>
        </r>
      </text>
    </comment>
    <comment ref="M70" authorId="0" shapeId="0" xr:uid="{00000000-0006-0000-0100-000047000000}">
      <text>
        <r>
          <rPr>
            <b/>
            <sz val="9"/>
            <color indexed="81"/>
            <rFont val="MS P ゴシック"/>
            <family val="3"/>
            <charset val="128"/>
          </rPr>
          <t>2016/08/24
視野を広げるためLENS,CCD位置調整
515 -&gt; 548</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SES10RP-7</author>
    <author>saclalog1</author>
    <author>kenichi</author>
    <author>xfelopr</author>
    <author>admini</author>
  </authors>
  <commentList>
    <comment ref="P1" authorId="0" shapeId="0" xr:uid="{00000000-0006-0000-0300-000001000000}">
      <text>
        <r>
          <rPr>
            <b/>
            <sz val="9"/>
            <color indexed="81"/>
            <rFont val="ＭＳ Ｐゴシック"/>
            <family val="3"/>
            <charset val="128"/>
          </rPr>
          <t xml:space="preserve">markerのサイズ
単位[mm]
</t>
        </r>
      </text>
    </comment>
    <comment ref="AT1" authorId="1" shapeId="0" xr:uid="{00000000-0006-0000-0300-000002000000}">
      <text>
        <r>
          <rPr>
            <b/>
            <sz val="9"/>
            <color indexed="81"/>
            <rFont val="MS P ゴシック"/>
            <family val="3"/>
            <charset val="128"/>
          </rPr>
          <t>カメラ切替時に指定するシャッタースピードは次の表に基づきID番号で指定する
 Shutter_speed A10[] = {
      {0, 60,  "1/60(OFF)"},
   {1, 100, "1/100"},
   {2, 120, "1/120"},
   {3, 250, "1/250"},
   {4, 500, "1/500"},
   {5, 1000, "1/1000"},
   {6, 2000, "1/2000"},
   {7, 4000, "1/4000"},
   {8, 8000, "1/8000"},
   {9, 15000, "1/15000"},
   {10, 25000, "1/25000"},
   {11, 75000, "1/75000"},
   {12, 100000, "1/100000"},
   {13, 150000, "1/150000"},                                 
   {14, 300000, "1/300000"},
 };
 Shutter_speed M4[] = {
      {0, 24,  "1/24(OFF)"},
   {1, 50,  "1/50"},
   {2, 100, "1/100"},
   {3, 200, "1/200"},
   {4, 400, "1/400"},
   {5, 800, "1/800"},
   {6, 1500, "1/1500"},
   {7, 3000, "1/3000"},
   {8, 5500, "1/5500"},
   {9, 10000, "1/10000"},
 };</t>
        </r>
      </text>
    </comment>
    <comment ref="I2" authorId="1" shapeId="0" xr:uid="{00000000-0006-0000-0300-000003000000}">
      <text>
        <r>
          <rPr>
            <b/>
            <sz val="9"/>
            <color indexed="81"/>
            <rFont val="MS P ゴシック"/>
            <family val="3"/>
            <charset val="128"/>
          </rPr>
          <t xml:space="preserve">2019/8/1
新型カメラGO2400に交換
</t>
        </r>
      </text>
    </comment>
    <comment ref="I3" authorId="1" shapeId="0" xr:uid="{00000000-0006-0000-0300-000004000000}">
      <text>
        <r>
          <rPr>
            <b/>
            <sz val="9"/>
            <color indexed="81"/>
            <rFont val="MS P ゴシック"/>
            <family val="3"/>
            <charset val="128"/>
          </rPr>
          <t xml:space="preserve">2018/12/24
新型カメラGO2400に交換
</t>
        </r>
      </text>
    </comment>
    <comment ref="I4" authorId="1" shapeId="0" xr:uid="{00000000-0006-0000-0300-000005000000}">
      <text>
        <r>
          <rPr>
            <b/>
            <sz val="9"/>
            <color indexed="81"/>
            <rFont val="MS P ゴシック"/>
            <family val="3"/>
            <charset val="128"/>
          </rPr>
          <t xml:space="preserve">2018/12/24
新型カメラGO2400に交換
</t>
        </r>
      </text>
    </comment>
    <comment ref="I5" authorId="1" shapeId="0" xr:uid="{00000000-0006-0000-0300-000006000000}">
      <text>
        <r>
          <rPr>
            <b/>
            <sz val="9"/>
            <color indexed="81"/>
            <rFont val="MS P ゴシック"/>
            <family val="3"/>
            <charset val="128"/>
          </rPr>
          <t xml:space="preserve">2019/8/1
新型カメラGO2400に交換
</t>
        </r>
      </text>
    </comment>
    <comment ref="I6" authorId="1" shapeId="0" xr:uid="{00000000-0006-0000-0300-000007000000}">
      <text>
        <r>
          <rPr>
            <b/>
            <sz val="9"/>
            <color indexed="81"/>
            <rFont val="MS P ゴシック"/>
            <family val="3"/>
            <charset val="128"/>
          </rPr>
          <t xml:space="preserve">2019/8/1
新型カメラGO2400に交換
</t>
        </r>
      </text>
    </comment>
    <comment ref="F7" authorId="0" shapeId="0" xr:uid="{00000000-0006-0000-0300-000008000000}">
      <text>
        <r>
          <rPr>
            <b/>
            <sz val="9"/>
            <color indexed="81"/>
            <rFont val="ＭＳ Ｐゴシック"/>
            <family val="3"/>
            <charset val="128"/>
          </rPr>
          <t xml:space="preserve">SCSS時代のものを使い回しなのでOTR
</t>
        </r>
      </text>
    </comment>
    <comment ref="I7" authorId="1" shapeId="0" xr:uid="{00000000-0006-0000-0300-000009000000}">
      <text>
        <r>
          <rPr>
            <b/>
            <sz val="9"/>
            <color indexed="81"/>
            <rFont val="MS P ゴシック"/>
            <family val="3"/>
            <charset val="128"/>
          </rPr>
          <t xml:space="preserve">2019/8/1
新型カメラGO2400に交換
</t>
        </r>
      </text>
    </comment>
    <comment ref="I8" authorId="1" shapeId="0" xr:uid="{00000000-0006-0000-0300-00000A000000}">
      <text>
        <r>
          <rPr>
            <b/>
            <sz val="9"/>
            <color indexed="81"/>
            <rFont val="MS P ゴシック"/>
            <family val="3"/>
            <charset val="128"/>
          </rPr>
          <t xml:space="preserve">2019/8/1
新型カメラGO2400に交換
</t>
        </r>
      </text>
    </comment>
    <comment ref="I9" authorId="1" shapeId="0" xr:uid="{00000000-0006-0000-0300-00000B000000}">
      <text>
        <r>
          <rPr>
            <b/>
            <sz val="9"/>
            <color indexed="81"/>
            <rFont val="MS P ゴシック"/>
            <family val="3"/>
            <charset val="128"/>
          </rPr>
          <t xml:space="preserve">2019/8/1
新型カメラGO2400に交換
</t>
        </r>
      </text>
    </comment>
    <comment ref="F10" authorId="0" shapeId="0" xr:uid="{00000000-0006-0000-0300-00000C000000}">
      <text>
        <r>
          <rPr>
            <b/>
            <sz val="9"/>
            <color indexed="81"/>
            <rFont val="ＭＳ Ｐゴシック"/>
            <family val="3"/>
            <charset val="128"/>
          </rPr>
          <t>2015/12/23
穴あきミラーから穴なしミラーに交換
YAG+Hole -&gt; YAG</t>
        </r>
      </text>
    </comment>
    <comment ref="I10" authorId="1" shapeId="0" xr:uid="{00000000-0006-0000-0300-00000D000000}">
      <text>
        <r>
          <rPr>
            <b/>
            <sz val="9"/>
            <color indexed="81"/>
            <rFont val="MS P ゴシック"/>
            <family val="3"/>
            <charset val="128"/>
          </rPr>
          <t xml:space="preserve">2019/8/1
新型カメラGO2400に交換
</t>
        </r>
      </text>
    </comment>
    <comment ref="G11" authorId="1" shapeId="0" xr:uid="{00000000-0006-0000-0300-00000E000000}">
      <text>
        <r>
          <rPr>
            <b/>
            <sz val="9"/>
            <color indexed="81"/>
            <rFont val="MS P ゴシック"/>
            <family val="3"/>
            <charset val="128"/>
          </rPr>
          <t>2016/3/23
Target-&gt;OTR</t>
        </r>
      </text>
    </comment>
    <comment ref="I11" authorId="1" shapeId="0" xr:uid="{00000000-0006-0000-0300-00000F000000}">
      <text>
        <r>
          <rPr>
            <b/>
            <sz val="9"/>
            <color indexed="81"/>
            <rFont val="MS P ゴシック"/>
            <family val="3"/>
            <charset val="128"/>
          </rPr>
          <t xml:space="preserve">2019/8/1
新型カメラGO2400に交換
</t>
        </r>
      </text>
    </comment>
    <comment ref="L11" authorId="2" shapeId="0" xr:uid="{00000000-0006-0000-0300-000010000000}">
      <text>
        <r>
          <rPr>
            <b/>
            <sz val="9"/>
            <color indexed="81"/>
            <rFont val="MS P ゴシック"/>
            <family val="3"/>
            <charset val="128"/>
          </rPr>
          <t>SIMなしてOTRの輪郭を描いてだいたい求めた</t>
        </r>
      </text>
    </comment>
    <comment ref="G12" authorId="1" shapeId="0" xr:uid="{00000000-0006-0000-0300-000011000000}">
      <text>
        <r>
          <rPr>
            <b/>
            <sz val="9"/>
            <color indexed="81"/>
            <rFont val="MS P ゴシック"/>
            <family val="3"/>
            <charset val="128"/>
          </rPr>
          <t>2016/3/23
Target-&gt;OTR</t>
        </r>
      </text>
    </comment>
    <comment ref="I12" authorId="1" shapeId="0" xr:uid="{00000000-0006-0000-0300-000012000000}">
      <text>
        <r>
          <rPr>
            <b/>
            <sz val="9"/>
            <color indexed="81"/>
            <rFont val="MS P ゴシック"/>
            <family val="3"/>
            <charset val="128"/>
          </rPr>
          <t xml:space="preserve">2018/8/21
新型カメラGO2400に交換
</t>
        </r>
      </text>
    </comment>
    <comment ref="J12" authorId="1" shapeId="0" xr:uid="{00000000-0006-0000-0300-000013000000}">
      <text>
        <r>
          <rPr>
            <b/>
            <sz val="9"/>
            <color indexed="81"/>
            <rFont val="MS P ゴシック"/>
            <family val="3"/>
            <charset val="128"/>
          </rPr>
          <t>2018/9/10
新型カメラ
2016/3/28
ターゲット交換に伴うピント再調整
9.68-&gt;9.8</t>
        </r>
      </text>
    </comment>
    <comment ref="K12" authorId="1" shapeId="0" xr:uid="{00000000-0006-0000-0300-000014000000}">
      <text>
        <r>
          <rPr>
            <b/>
            <sz val="9"/>
            <color indexed="81"/>
            <rFont val="MS P ゴシック"/>
            <family val="3"/>
            <charset val="128"/>
          </rPr>
          <t>2018/9/10
新型カメラ
2016/3/28
ターゲット交換に伴うピント再調整
9.68-&gt;9.8</t>
        </r>
      </text>
    </comment>
    <comment ref="L12" authorId="1" shapeId="0" xr:uid="{00000000-0006-0000-0300-000015000000}">
      <text>
        <r>
          <rPr>
            <b/>
            <sz val="9"/>
            <color indexed="81"/>
            <rFont val="MS P ゴシック"/>
            <family val="3"/>
            <charset val="128"/>
          </rPr>
          <t>2018/9/10
新型カメラ</t>
        </r>
      </text>
    </comment>
    <comment ref="M12" authorId="1" shapeId="0" xr:uid="{00000000-0006-0000-0300-000016000000}">
      <text>
        <r>
          <rPr>
            <b/>
            <sz val="9"/>
            <color indexed="81"/>
            <rFont val="MS P ゴシック"/>
            <family val="3"/>
            <charset val="128"/>
          </rPr>
          <t>2018/9/10
新型カメラ</t>
        </r>
      </text>
    </comment>
    <comment ref="F13" authorId="1" shapeId="0" xr:uid="{00000000-0006-0000-0300-000017000000}">
      <text>
        <r>
          <rPr>
            <b/>
            <sz val="9"/>
            <color indexed="81"/>
            <rFont val="MS P ゴシック"/>
            <family val="3"/>
            <charset val="128"/>
          </rPr>
          <t xml:space="preserve">2016/3/23
Target-&gt;YAG+Hole
2020/1/6
YAG+Hole =&gt; YAG
</t>
        </r>
      </text>
    </comment>
    <comment ref="G13" authorId="1" shapeId="0" xr:uid="{00000000-0006-0000-0300-000018000000}">
      <text>
        <r>
          <rPr>
            <b/>
            <sz val="9"/>
            <color indexed="81"/>
            <rFont val="MS P ゴシック"/>
            <family val="3"/>
            <charset val="128"/>
          </rPr>
          <t>YAG-&gt;OTR</t>
        </r>
      </text>
    </comment>
    <comment ref="I13" authorId="1" shapeId="0" xr:uid="{00000000-0006-0000-0300-000019000000}">
      <text>
        <r>
          <rPr>
            <b/>
            <sz val="9"/>
            <color indexed="81"/>
            <rFont val="MS P ゴシック"/>
            <family val="3"/>
            <charset val="128"/>
          </rPr>
          <t xml:space="preserve">2019/8/1
新型カメラGO2400に交換
</t>
        </r>
      </text>
    </comment>
    <comment ref="F14" authorId="1" shapeId="0" xr:uid="{00000000-0006-0000-0300-00001A000000}">
      <text>
        <r>
          <rPr>
            <b/>
            <sz val="9"/>
            <color indexed="81"/>
            <rFont val="MS P ゴシック"/>
            <family val="3"/>
            <charset val="128"/>
          </rPr>
          <t>2016/3/23
Target-&gt;YAG</t>
        </r>
      </text>
    </comment>
    <comment ref="G14" authorId="1" shapeId="0" xr:uid="{00000000-0006-0000-0300-00001B000000}">
      <text>
        <r>
          <rPr>
            <b/>
            <sz val="9"/>
            <color indexed="81"/>
            <rFont val="MS P ゴシック"/>
            <family val="3"/>
            <charset val="128"/>
          </rPr>
          <t>2016/3/23
YAG-&gt;OTR</t>
        </r>
      </text>
    </comment>
    <comment ref="I14" authorId="1" shapeId="0" xr:uid="{00000000-0006-0000-0300-00001C000000}">
      <text>
        <r>
          <rPr>
            <b/>
            <sz val="9"/>
            <color indexed="81"/>
            <rFont val="MS P ゴシック"/>
            <family val="3"/>
            <charset val="128"/>
          </rPr>
          <t xml:space="preserve">2019/8/1
新型カメラGO2400に交換
</t>
        </r>
      </text>
    </comment>
    <comment ref="L14" authorId="2" shapeId="0" xr:uid="{00000000-0006-0000-0300-00001D000000}">
      <text>
        <r>
          <rPr>
            <b/>
            <sz val="9"/>
            <color indexed="81"/>
            <rFont val="MS P ゴシック"/>
            <family val="3"/>
            <charset val="128"/>
          </rPr>
          <t>OTRの輪郭を描いてだいたい求めた</t>
        </r>
      </text>
    </comment>
    <comment ref="M14" authorId="2" shapeId="0" xr:uid="{00000000-0006-0000-0300-00001E000000}">
      <text>
        <r>
          <rPr>
            <b/>
            <sz val="9"/>
            <color indexed="81"/>
            <rFont val="MS P ゴシック"/>
            <family val="3"/>
            <charset val="128"/>
          </rPr>
          <t xml:space="preserve">C_y は1281だったが
1mmのシムを抜いて809になった
</t>
        </r>
      </text>
    </comment>
    <comment ref="AD14" authorId="2" shapeId="0" xr:uid="{00000000-0006-0000-0300-00001F000000}">
      <text>
        <r>
          <rPr>
            <b/>
            <sz val="9"/>
            <color indexed="81"/>
            <rFont val="ＭＳ Ｐゴシック"/>
            <family val="3"/>
            <charset val="128"/>
          </rPr>
          <t>kenichi:</t>
        </r>
        <r>
          <rPr>
            <sz val="9"/>
            <color indexed="81"/>
            <rFont val="ＭＳ Ｐゴシック"/>
            <family val="3"/>
            <charset val="128"/>
          </rPr>
          <t xml:space="preserve">
2014夏　変更</t>
        </r>
      </text>
    </comment>
    <comment ref="E15" authorId="1" shapeId="0" xr:uid="{00000000-0006-0000-0300-000020000000}">
      <text>
        <r>
          <rPr>
            <b/>
            <sz val="9"/>
            <color indexed="81"/>
            <rFont val="MS P ゴシック"/>
            <family val="3"/>
            <charset val="128"/>
          </rPr>
          <t>2017夏季停止に変更</t>
        </r>
      </text>
    </comment>
    <comment ref="F15" authorId="3" shapeId="0" xr:uid="{00000000-0006-0000-0300-000021000000}">
      <text>
        <r>
          <rPr>
            <b/>
            <sz val="11"/>
            <color indexed="81"/>
            <rFont val="MS P ゴシック"/>
            <family val="3"/>
            <charset val="128"/>
          </rPr>
          <t>2019夏
OTRだと思っていたがYAGと判明</t>
        </r>
      </text>
    </comment>
    <comment ref="I15" authorId="1" shapeId="0" xr:uid="{00000000-0006-0000-0300-000022000000}">
      <text>
        <r>
          <rPr>
            <b/>
            <sz val="9"/>
            <color indexed="81"/>
            <rFont val="MS P ゴシック"/>
            <family val="3"/>
            <charset val="128"/>
          </rPr>
          <t xml:space="preserve">2019/8/1
新型カメラGO2400に交換
</t>
        </r>
      </text>
    </comment>
    <comment ref="E16" authorId="1" shapeId="0" xr:uid="{00000000-0006-0000-0300-000023000000}">
      <text>
        <r>
          <rPr>
            <b/>
            <sz val="9"/>
            <color indexed="81"/>
            <rFont val="MS P ゴシック"/>
            <family val="3"/>
            <charset val="128"/>
          </rPr>
          <t xml:space="preserve">2017夏季停止に変更
</t>
        </r>
      </text>
    </comment>
    <comment ref="J16" authorId="1" shapeId="0" xr:uid="{00000000-0006-0000-0300-000024000000}">
      <text>
        <r>
          <rPr>
            <b/>
            <sz val="9"/>
            <color indexed="81"/>
            <rFont val="MS P ゴシック"/>
            <family val="3"/>
            <charset val="128"/>
          </rPr>
          <t>2017/9/14
新設</t>
        </r>
      </text>
    </comment>
    <comment ref="K16" authorId="1" shapeId="0" xr:uid="{00000000-0006-0000-0300-000025000000}">
      <text>
        <r>
          <rPr>
            <b/>
            <sz val="9"/>
            <color indexed="81"/>
            <rFont val="MS P ゴシック"/>
            <family val="3"/>
            <charset val="128"/>
          </rPr>
          <t>2017/9/14
新設</t>
        </r>
      </text>
    </comment>
    <comment ref="F17" authorId="3" shapeId="0" xr:uid="{00000000-0006-0000-0300-000026000000}">
      <text>
        <r>
          <rPr>
            <b/>
            <sz val="11"/>
            <color indexed="81"/>
            <rFont val="MS P ゴシック"/>
            <family val="3"/>
            <charset val="128"/>
          </rPr>
          <t>2019夏
OTRだと思っていたがYAGと判明</t>
        </r>
      </text>
    </comment>
    <comment ref="I17" authorId="1" shapeId="0" xr:uid="{00000000-0006-0000-0300-000027000000}">
      <text>
        <r>
          <rPr>
            <b/>
            <sz val="9"/>
            <color indexed="81"/>
            <rFont val="MS P ゴシック"/>
            <family val="3"/>
            <charset val="128"/>
          </rPr>
          <t xml:space="preserve">2019/8/1
新型カメラGO2400に交換
</t>
        </r>
      </text>
    </comment>
    <comment ref="B18" authorId="2" shapeId="0" xr:uid="{00000000-0006-0000-0300-000028000000}">
      <text>
        <r>
          <rPr>
            <sz val="9"/>
            <color indexed="81"/>
            <rFont val="ＭＳ Ｐゴシック"/>
            <family val="3"/>
            <charset val="128"/>
          </rPr>
          <t>2015夏名前変更
scm_bl1_3_1
から
scm_bl1_3_1_1</t>
        </r>
      </text>
    </comment>
    <comment ref="C18" authorId="2" shapeId="0" xr:uid="{00000000-0006-0000-0300-000029000000}">
      <text>
        <r>
          <rPr>
            <b/>
            <sz val="9"/>
            <color indexed="81"/>
            <rFont val="ＭＳ Ｐゴシック"/>
            <family val="3"/>
            <charset val="128"/>
          </rPr>
          <t>2015夏名前変更
scm_bl1_3_1
から
scm_bl1_3_1_1</t>
        </r>
      </text>
    </comment>
    <comment ref="F18" authorId="1" shapeId="0" xr:uid="{00000000-0006-0000-0300-00002A000000}">
      <text>
        <r>
          <rPr>
            <b/>
            <sz val="9"/>
            <color indexed="81"/>
            <rFont val="MS P ゴシック"/>
            <family val="3"/>
            <charset val="128"/>
          </rPr>
          <t>2016夏
ミラーを穴有りから穴なしに交換予定</t>
        </r>
      </text>
    </comment>
    <comment ref="I18" authorId="1" shapeId="0" xr:uid="{00000000-0006-0000-0300-00002B000000}">
      <text>
        <r>
          <rPr>
            <b/>
            <sz val="9"/>
            <color indexed="81"/>
            <rFont val="MS P ゴシック"/>
            <family val="3"/>
            <charset val="128"/>
          </rPr>
          <t xml:space="preserve">2019/8/1
新型カメラGO2400に交換
</t>
        </r>
      </text>
    </comment>
    <comment ref="M18" authorId="2" shapeId="0" xr:uid="{00000000-0006-0000-0300-00002C000000}">
      <text>
        <r>
          <rPr>
            <b/>
            <sz val="9"/>
            <color indexed="81"/>
            <rFont val="MS P ゴシック"/>
            <family val="3"/>
            <charset val="128"/>
          </rPr>
          <t>高さは可変なのでとりあげず真ん中</t>
        </r>
      </text>
    </comment>
    <comment ref="B19" authorId="2" shapeId="0" xr:uid="{00000000-0006-0000-0300-00002D000000}">
      <text>
        <r>
          <rPr>
            <b/>
            <sz val="9"/>
            <color indexed="81"/>
            <rFont val="ＭＳ Ｐゴシック"/>
            <family val="3"/>
            <charset val="128"/>
          </rPr>
          <t>2015夏名前変更
scm_bl1_3_2
から
scm_bl1_3_2_1</t>
        </r>
      </text>
    </comment>
    <comment ref="C19" authorId="2" shapeId="0" xr:uid="{00000000-0006-0000-0300-00002E000000}">
      <text>
        <r>
          <rPr>
            <b/>
            <sz val="9"/>
            <color indexed="81"/>
            <rFont val="ＭＳ Ｐゴシック"/>
            <family val="3"/>
            <charset val="128"/>
          </rPr>
          <t xml:space="preserve">2015夏名前変更
scm_bl1_3_2
から
scm_bl1_3_2_1
</t>
        </r>
      </text>
    </comment>
    <comment ref="I19" authorId="1" shapeId="0" xr:uid="{00000000-0006-0000-0300-00002F000000}">
      <text>
        <r>
          <rPr>
            <b/>
            <sz val="9"/>
            <color indexed="81"/>
            <rFont val="MS P ゴシック"/>
            <family val="3"/>
            <charset val="128"/>
          </rPr>
          <t xml:space="preserve">2019/8/1
新型カメラGO2400に交換
</t>
        </r>
      </text>
    </comment>
    <comment ref="B20" authorId="4" shapeId="0" xr:uid="{00000000-0006-0000-0300-000030000000}">
      <text>
        <r>
          <rPr>
            <b/>
            <sz val="9"/>
            <color indexed="81"/>
            <rFont val="ＭＳ Ｐゴシック"/>
            <family val="3"/>
            <charset val="128"/>
          </rPr>
          <t>2015夏名前変更
scm_bl1_3_3
から
scm_bl1_3_2_2</t>
        </r>
      </text>
    </comment>
    <comment ref="C20" authorId="2" shapeId="0" xr:uid="{00000000-0006-0000-0300-000031000000}">
      <text>
        <r>
          <rPr>
            <b/>
            <sz val="9"/>
            <color indexed="81"/>
            <rFont val="ＭＳ Ｐゴシック"/>
            <family val="3"/>
            <charset val="128"/>
          </rPr>
          <t>2015夏名前変更
scm_bl1_3_3
から
scm_bl1_3_2_2</t>
        </r>
      </text>
    </comment>
    <comment ref="I20" authorId="1" shapeId="0" xr:uid="{00000000-0006-0000-0300-000032000000}">
      <text>
        <r>
          <rPr>
            <b/>
            <sz val="9"/>
            <color indexed="81"/>
            <rFont val="MS P ゴシック"/>
            <family val="3"/>
            <charset val="128"/>
          </rPr>
          <t xml:space="preserve">2019/8/1
新型カメラGO2400に交換
</t>
        </r>
      </text>
    </comment>
    <comment ref="B21" authorId="4" shapeId="0" xr:uid="{00000000-0006-0000-0300-000033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C21" authorId="4" shapeId="0" xr:uid="{00000000-0006-0000-0300-000034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F21" authorId="1" shapeId="0" xr:uid="{00000000-0006-0000-0300-000035000000}">
      <text>
        <r>
          <rPr>
            <b/>
            <sz val="9"/>
            <color indexed="81"/>
            <rFont val="MS P ゴシック"/>
            <family val="3"/>
            <charset val="128"/>
          </rPr>
          <t>2016/3/25
YAG-&gt;OTR</t>
        </r>
      </text>
    </comment>
    <comment ref="J21" authorId="1" shapeId="0" xr:uid="{00000000-0006-0000-0300-000036000000}">
      <text>
        <r>
          <rPr>
            <b/>
            <sz val="9"/>
            <color indexed="81"/>
            <rFont val="MS P ゴシック"/>
            <family val="3"/>
            <charset val="128"/>
          </rPr>
          <t>2016/3/28
ターゲット交換に伴うピント再調整
17.63-&gt;17.54</t>
        </r>
      </text>
    </comment>
    <comment ref="K21" authorId="1" shapeId="0" xr:uid="{00000000-0006-0000-0300-000037000000}">
      <text>
        <r>
          <rPr>
            <b/>
            <sz val="9"/>
            <color indexed="81"/>
            <rFont val="MS P ゴシック"/>
            <family val="3"/>
            <charset val="128"/>
          </rPr>
          <t>2016/3/28
ターゲット交換に伴うピント再調整
17.63-&gt;17.54</t>
        </r>
      </text>
    </comment>
    <comment ref="B22" authorId="4" shapeId="0" xr:uid="{00000000-0006-0000-0300-000038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C22" authorId="4" shapeId="0" xr:uid="{00000000-0006-0000-0300-000039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B23" authorId="4" shapeId="0" xr:uid="{00000000-0006-0000-0300-00003A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C23" authorId="4" shapeId="0" xr:uid="{00000000-0006-0000-0300-00003B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saclalog1</author>
    <author>kenichi</author>
    <author>SES10RP-7</author>
    <author>Windows User</author>
    <author>xfelopr</author>
  </authors>
  <commentList>
    <comment ref="B1" authorId="0" shapeId="0" xr:uid="{00000000-0006-0000-0400-000001000000}">
      <text>
        <r>
          <rPr>
            <b/>
            <sz val="9"/>
            <color indexed="81"/>
            <rFont val="MS P ゴシック"/>
            <family val="3"/>
            <charset val="128"/>
          </rPr>
          <t>電源の切入に使用
SvocList.srmon-ssbt1-03.ods のO</t>
        </r>
      </text>
    </comment>
    <comment ref="C1" authorId="0" shapeId="0" xr:uid="{00000000-0006-0000-0400-000002000000}">
      <text>
        <r>
          <rPr>
            <b/>
            <sz val="9"/>
            <color indexed="81"/>
            <rFont val="MS P ゴシック"/>
            <family val="3"/>
            <charset val="128"/>
          </rPr>
          <t xml:space="preserve">ゲイン、シャッタースピードなどの設定に使用
SvocList.srmon-ssbt1-03.ods のO
</t>
        </r>
      </text>
    </comment>
    <comment ref="D1" authorId="0" shapeId="0" xr:uid="{00000000-0006-0000-0400-000003000000}">
      <text>
        <r>
          <rPr>
            <b/>
            <sz val="9"/>
            <color indexed="81"/>
            <rFont val="MS P ゴシック"/>
            <family val="3"/>
            <charset val="128"/>
          </rPr>
          <t>カメラ切り替えに使用
SvocList.srmon-ssbt1-03.ods のC</t>
        </r>
      </text>
    </comment>
    <comment ref="E1" authorId="1" shapeId="0" xr:uid="{00000000-0006-0000-0400-000004000000}">
      <text>
        <r>
          <rPr>
            <b/>
            <sz val="9"/>
            <color indexed="81"/>
            <rFont val="MS P ゴシック"/>
            <family val="3"/>
            <charset val="128"/>
          </rPr>
          <t>S列のCPU</t>
        </r>
      </text>
    </comment>
    <comment ref="H1" authorId="1" shapeId="0" xr:uid="{00000000-0006-0000-0400-000005000000}">
      <text>
        <r>
          <rPr>
            <b/>
            <sz val="9"/>
            <color indexed="81"/>
            <rFont val="MS P ゴシック"/>
            <family val="3"/>
            <charset val="128"/>
          </rPr>
          <t>3段式のは1or2を記入
2段式のは空欄
タイプの違いはcmd_led欄を参照</t>
        </r>
      </text>
    </comment>
    <comment ref="K1" authorId="1" shapeId="0" xr:uid="{00000000-0006-0000-0400-000006000000}">
      <text>
        <r>
          <rPr>
            <b/>
            <sz val="9"/>
            <color indexed="81"/>
            <rFont val="MS P ゴシック"/>
            <family val="3"/>
            <charset val="128"/>
          </rPr>
          <t>10</t>
        </r>
      </text>
    </comment>
    <comment ref="L1" authorId="1" shapeId="0" xr:uid="{00000000-0006-0000-0400-000007000000}">
      <text>
        <r>
          <rPr>
            <b/>
            <sz val="9"/>
            <color indexed="81"/>
            <rFont val="MS P ゴシック"/>
            <family val="3"/>
            <charset val="128"/>
          </rPr>
          <t>画像左上を原点とする</t>
        </r>
      </text>
    </comment>
    <comment ref="M1" authorId="1" shapeId="0" xr:uid="{00000000-0006-0000-0400-000008000000}">
      <text>
        <r>
          <rPr>
            <b/>
            <sz val="9"/>
            <color indexed="81"/>
            <rFont val="MS P ゴシック"/>
            <family val="3"/>
            <charset val="128"/>
          </rPr>
          <t>画像左上を原点とする</t>
        </r>
      </text>
    </comment>
    <comment ref="P1" authorId="2" shapeId="0" xr:uid="{00000000-0006-0000-0400-000009000000}">
      <text>
        <r>
          <rPr>
            <b/>
            <sz val="9"/>
            <color indexed="81"/>
            <rFont val="ＭＳ Ｐゴシック"/>
            <family val="3"/>
            <charset val="128"/>
          </rPr>
          <t xml:space="preserve">markerのサイズ
単位[mm]
</t>
        </r>
      </text>
    </comment>
    <comment ref="Q1" authorId="0" shapeId="0" xr:uid="{00000000-0006-0000-0400-00000A000000}">
      <text>
        <r>
          <rPr>
            <b/>
            <sz val="9"/>
            <color indexed="81"/>
            <rFont val="MS P ゴシック"/>
            <family val="3"/>
            <charset val="128"/>
          </rPr>
          <t xml:space="preserve">MDAQ、カメラ切り替えに使用
サーバーごとに違うので注意
SvocList.srmon-ssbt1-03.ods のO
</t>
        </r>
      </text>
    </comment>
    <comment ref="R1" authorId="0" shapeId="0" xr:uid="{00000000-0006-0000-0400-00000B000000}">
      <text>
        <r>
          <rPr>
            <b/>
            <sz val="9"/>
            <color indexed="81"/>
            <rFont val="MS P ゴシック"/>
            <family val="3"/>
            <charset val="128"/>
          </rPr>
          <t xml:space="preserve">LED  に使用
</t>
        </r>
      </text>
    </comment>
    <comment ref="S1" authorId="3" shapeId="0" xr:uid="{00000000-0006-0000-0400-00000C000000}">
      <text>
        <r>
          <rPr>
            <b/>
            <sz val="9"/>
            <color indexed="81"/>
            <rFont val="MS P ゴシック"/>
            <family val="3"/>
            <charset val="128"/>
          </rPr>
          <t xml:space="preserve">GUIでは使用してない
SVOC Listの
VMEを制御する関数の引数
</t>
        </r>
      </text>
    </comment>
    <comment ref="T1" authorId="0" shapeId="0" xr:uid="{00000000-0006-0000-0400-00000D000000}">
      <text>
        <r>
          <rPr>
            <b/>
            <sz val="9"/>
            <color indexed="81"/>
            <rFont val="MS P ゴシック"/>
            <family val="3"/>
            <charset val="128"/>
          </rPr>
          <t xml:space="preserve">for Qt
カメラのport ON/OFFに使用
CAMERALINKにはない
SvocList.srmon-ssbt1-03.ods のO
</t>
        </r>
      </text>
    </comment>
    <comment ref="U1" authorId="0" shapeId="0" xr:uid="{00000000-0006-0000-0400-00000E000000}">
      <text>
        <r>
          <rPr>
            <b/>
            <sz val="9"/>
            <color indexed="81"/>
            <rFont val="MS P ゴシック"/>
            <family val="3"/>
            <charset val="128"/>
          </rPr>
          <t xml:space="preserve">for Qt
カメラCLEAR/INSERT
に使用
旧名のままなので注意
SvocList.srmon-ssbt1-01.ods のC
</t>
        </r>
      </text>
    </comment>
    <comment ref="V1" authorId="1" shapeId="0" xr:uid="{00000000-0006-0000-0400-00000F000000}">
      <text>
        <r>
          <rPr>
            <b/>
            <sz val="9"/>
            <color indexed="81"/>
            <rFont val="MS P ゴシック"/>
            <family val="3"/>
            <charset val="128"/>
          </rPr>
          <t>for Qt
LEDの点灯ステータス
空欄のところはステータス信号がない
cnameと同じなので
いずれ藤一する？</t>
        </r>
      </text>
    </comment>
    <comment ref="AE1" authorId="1" shapeId="0" xr:uid="{00000000-0006-0000-0400-000010000000}">
      <text>
        <r>
          <rPr>
            <b/>
            <sz val="9"/>
            <color indexed="81"/>
            <rFont val="MS P ゴシック"/>
            <family val="3"/>
            <charset val="128"/>
          </rPr>
          <t xml:space="preserve">30
</t>
        </r>
      </text>
    </comment>
    <comment ref="AI1" authorId="1" shapeId="0" xr:uid="{00000000-0006-0000-0400-000011000000}">
      <text>
        <r>
          <rPr>
            <b/>
            <sz val="9"/>
            <color indexed="81"/>
            <rFont val="MS P ゴシック"/>
            <family val="3"/>
            <charset val="128"/>
          </rPr>
          <t>for Qt GUI</t>
        </r>
      </text>
    </comment>
    <comment ref="AJ1" authorId="1" shapeId="0" xr:uid="{00000000-0006-0000-0400-000012000000}">
      <text>
        <r>
          <rPr>
            <b/>
            <sz val="9"/>
            <color indexed="81"/>
            <rFont val="MS P ゴシック"/>
            <family val="3"/>
            <charset val="128"/>
          </rPr>
          <t>for Qt GUI</t>
        </r>
      </text>
    </comment>
    <comment ref="AK1" authorId="1" shapeId="0" xr:uid="{00000000-0006-0000-0400-000013000000}">
      <text>
        <r>
          <rPr>
            <b/>
            <sz val="9"/>
            <color indexed="81"/>
            <rFont val="MS P ゴシック"/>
            <family val="3"/>
            <charset val="128"/>
          </rPr>
          <t>for Qt GUI</t>
        </r>
      </text>
    </comment>
    <comment ref="AL1" authorId="1" shapeId="0" xr:uid="{00000000-0006-0000-0400-000014000000}">
      <text>
        <r>
          <rPr>
            <b/>
            <sz val="9"/>
            <color indexed="81"/>
            <rFont val="MS P ゴシック"/>
            <family val="3"/>
            <charset val="128"/>
          </rPr>
          <t>for Qt GUI</t>
        </r>
      </text>
    </comment>
    <comment ref="AM1" authorId="1" shapeId="0" xr:uid="{00000000-0006-0000-0400-000015000000}">
      <text>
        <r>
          <rPr>
            <b/>
            <sz val="9"/>
            <color indexed="81"/>
            <rFont val="MS P ゴシック"/>
            <family val="3"/>
            <charset val="128"/>
          </rPr>
          <t>for Qt GUI</t>
        </r>
      </text>
    </comment>
    <comment ref="AS1" authorId="1" shapeId="0" xr:uid="{00000000-0006-0000-0400-000016000000}">
      <text>
        <r>
          <rPr>
            <b/>
            <sz val="9"/>
            <color indexed="81"/>
            <rFont val="MS P ゴシック"/>
            <family val="3"/>
            <charset val="128"/>
          </rPr>
          <t>一応用意したがGUIから投げるようにはしていない</t>
        </r>
      </text>
    </comment>
    <comment ref="AT1" authorId="0" shapeId="0" xr:uid="{00000000-0006-0000-0400-000017000000}">
      <text>
        <r>
          <rPr>
            <b/>
            <sz val="9"/>
            <color indexed="81"/>
            <rFont val="MS P ゴシック"/>
            <family val="3"/>
            <charset val="128"/>
          </rPr>
          <t>SACLA,SCSS+と違い
直接露光時間を指定
2020/3/16町田氏メールより</t>
        </r>
      </text>
    </comment>
    <comment ref="AU1" authorId="1" shapeId="0" xr:uid="{00000000-0006-0000-0400-000018000000}">
      <text>
        <r>
          <rPr>
            <b/>
            <sz val="9"/>
            <color indexed="81"/>
            <rFont val="MS P ゴシック"/>
            <family val="3"/>
            <charset val="128"/>
          </rPr>
          <t>2020/3/16町田氏メールより</t>
        </r>
      </text>
    </comment>
    <comment ref="AV1" authorId="1" shapeId="0" xr:uid="{00000000-0006-0000-0400-000019000000}">
      <text>
        <r>
          <rPr>
            <b/>
            <sz val="9"/>
            <color indexed="81"/>
            <rFont val="MS P ゴシック"/>
            <family val="3"/>
            <charset val="128"/>
          </rPr>
          <t xml:space="preserve">SCSS+ GigE CameraのDelay
</t>
        </r>
      </text>
    </comment>
    <comment ref="AW1" authorId="1" shapeId="0" xr:uid="{00000000-0006-0000-0400-00001A000000}">
      <text>
        <r>
          <rPr>
            <b/>
            <sz val="9"/>
            <color indexed="81"/>
            <rFont val="MS P ゴシック"/>
            <family val="3"/>
            <charset val="128"/>
          </rPr>
          <t xml:space="preserve">mdaqとcounterボードのリマインダー
※bl1-01のサーバーには2つボードがある
2021/9/27
 時刻合わせを+3にすることでリマインダー0でもOKになった
</t>
        </r>
      </text>
    </comment>
    <comment ref="AX1" authorId="1" shapeId="0" xr:uid="{00000000-0006-0000-0400-00001B000000}">
      <text>
        <r>
          <rPr>
            <b/>
            <sz val="9"/>
            <color indexed="81"/>
            <rFont val="MS P ゴシック"/>
            <family val="3"/>
            <charset val="128"/>
          </rPr>
          <t xml:space="preserve">最上流の238のスクリーンはサチってしまうのでアイリスで絞ることになった
</t>
        </r>
      </text>
    </comment>
    <comment ref="AY1" authorId="1" shapeId="0" xr:uid="{00000000-0006-0000-0400-00001C000000}">
      <text>
        <r>
          <rPr>
            <b/>
            <sz val="9"/>
            <color indexed="81"/>
            <rFont val="MS P ゴシック"/>
            <family val="3"/>
            <charset val="128"/>
          </rPr>
          <t>GUIで計算した値</t>
        </r>
      </text>
    </comment>
    <comment ref="AZ1" authorId="1" shapeId="0" xr:uid="{00000000-0006-0000-0400-00001D000000}">
      <text>
        <r>
          <rPr>
            <b/>
            <sz val="9"/>
            <color indexed="81"/>
            <rFont val="MS P ゴシック"/>
            <family val="3"/>
            <charset val="128"/>
          </rPr>
          <t xml:space="preserve">GUIで計算した値
</t>
        </r>
      </text>
    </comment>
    <comment ref="BA1" authorId="1" shapeId="0" xr:uid="{00000000-0006-0000-0400-00001E000000}">
      <text>
        <r>
          <rPr>
            <b/>
            <sz val="9"/>
            <color indexed="81"/>
            <rFont val="MS P ゴシック"/>
            <family val="3"/>
            <charset val="128"/>
          </rPr>
          <t>GigEで使用
GUIでは使用しない
check_aliveでカメラが生きているか確認するプロセスで使用予定</t>
        </r>
      </text>
    </comment>
    <comment ref="F2" authorId="1" shapeId="0" xr:uid="{00000000-0006-0000-0400-00001F000000}">
      <text>
        <r>
          <rPr>
            <b/>
            <sz val="9"/>
            <color indexed="81"/>
            <rFont val="MS P ゴシック"/>
            <family val="3"/>
            <charset val="128"/>
          </rPr>
          <t>SCSS+ 238, 476 の四隅のポチ間隔は6mm、斜め45度になってるので横の長さと縦の長さが違うが、ビームは正常に見える。縦のポチ間隔でピクセルサイズ算出</t>
        </r>
      </text>
    </comment>
    <comment ref="F7" authorId="2" shapeId="0" xr:uid="{00000000-0006-0000-0400-000020000000}">
      <text>
        <r>
          <rPr>
            <b/>
            <sz val="9"/>
            <color indexed="81"/>
            <rFont val="ＭＳ Ｐゴシック"/>
            <family val="3"/>
            <charset val="128"/>
          </rPr>
          <t xml:space="preserve">SCSS時代のものを使い回しなのでOTR
</t>
        </r>
      </text>
    </comment>
    <comment ref="F10" authorId="2" shapeId="0" xr:uid="{00000000-0006-0000-0400-000021000000}">
      <text>
        <r>
          <rPr>
            <b/>
            <sz val="9"/>
            <color indexed="81"/>
            <rFont val="ＭＳ Ｐゴシック"/>
            <family val="3"/>
            <charset val="128"/>
          </rPr>
          <t>2015/12/23
穴あきミラーから穴なしミラーに交換
YAG+Hole -&gt; YAG</t>
        </r>
      </text>
    </comment>
    <comment ref="G11" authorId="0" shapeId="0" xr:uid="{00000000-0006-0000-0400-000022000000}">
      <text>
        <r>
          <rPr>
            <b/>
            <sz val="9"/>
            <color indexed="81"/>
            <rFont val="MS P ゴシック"/>
            <family val="3"/>
            <charset val="128"/>
          </rPr>
          <t>2016/3/23
Target-&gt;OTR</t>
        </r>
      </text>
    </comment>
    <comment ref="L11" authorId="1" shapeId="0" xr:uid="{00000000-0006-0000-0400-000023000000}">
      <text>
        <r>
          <rPr>
            <b/>
            <sz val="9"/>
            <color indexed="81"/>
            <rFont val="MS P ゴシック"/>
            <family val="3"/>
            <charset val="128"/>
          </rPr>
          <t>SIMなしてOTRの輪郭を描いてだいたい求めた</t>
        </r>
      </text>
    </comment>
    <comment ref="G12" authorId="0" shapeId="0" xr:uid="{00000000-0006-0000-0400-000024000000}">
      <text>
        <r>
          <rPr>
            <b/>
            <sz val="9"/>
            <color indexed="81"/>
            <rFont val="MS P ゴシック"/>
            <family val="3"/>
            <charset val="128"/>
          </rPr>
          <t>2016/3/23
Target-&gt;OTR</t>
        </r>
      </text>
    </comment>
    <comment ref="J12" authorId="0" shapeId="0" xr:uid="{00000000-0006-0000-0400-000025000000}">
      <text>
        <r>
          <rPr>
            <b/>
            <sz val="9"/>
            <color indexed="81"/>
            <rFont val="MS P ゴシック"/>
            <family val="3"/>
            <charset val="128"/>
          </rPr>
          <t>2018/9/10
新型カメラ
2016/3/28
ターゲット交換に伴うピント再調整
9.68-&gt;9.8</t>
        </r>
      </text>
    </comment>
    <comment ref="K12" authorId="0" shapeId="0" xr:uid="{00000000-0006-0000-0400-000026000000}">
      <text>
        <r>
          <rPr>
            <b/>
            <sz val="9"/>
            <color indexed="81"/>
            <rFont val="MS P ゴシック"/>
            <family val="3"/>
            <charset val="128"/>
          </rPr>
          <t>2018/9/10
新型カメラ
2016/3/28
ターゲット交換に伴うピント再調整
9.68-&gt;9.8</t>
        </r>
      </text>
    </comment>
    <comment ref="L12" authorId="0" shapeId="0" xr:uid="{00000000-0006-0000-0400-000027000000}">
      <text>
        <r>
          <rPr>
            <b/>
            <sz val="9"/>
            <color indexed="81"/>
            <rFont val="MS P ゴシック"/>
            <family val="3"/>
            <charset val="128"/>
          </rPr>
          <t>2018/9/10
新型カメラ</t>
        </r>
      </text>
    </comment>
    <comment ref="M12" authorId="0" shapeId="0" xr:uid="{00000000-0006-0000-0400-000028000000}">
      <text>
        <r>
          <rPr>
            <b/>
            <sz val="9"/>
            <color indexed="81"/>
            <rFont val="MS P ゴシック"/>
            <family val="3"/>
            <charset val="128"/>
          </rPr>
          <t>2018/9/10
新型カメラ</t>
        </r>
      </text>
    </comment>
    <comment ref="F13" authorId="0" shapeId="0" xr:uid="{00000000-0006-0000-0400-000029000000}">
      <text>
        <r>
          <rPr>
            <b/>
            <sz val="9"/>
            <color indexed="81"/>
            <rFont val="MS P ゴシック"/>
            <family val="3"/>
            <charset val="128"/>
          </rPr>
          <t xml:space="preserve">2016/3/23
Target-&gt;YAG+Hole
2020/1/6
YAG+Hole =&gt; YAG
</t>
        </r>
      </text>
    </comment>
    <comment ref="G13" authorId="0" shapeId="0" xr:uid="{00000000-0006-0000-0400-00002A000000}">
      <text>
        <r>
          <rPr>
            <b/>
            <sz val="9"/>
            <color indexed="81"/>
            <rFont val="MS P ゴシック"/>
            <family val="3"/>
            <charset val="128"/>
          </rPr>
          <t>YAG-&gt;OTR</t>
        </r>
      </text>
    </comment>
    <comment ref="F14" authorId="0" shapeId="0" xr:uid="{00000000-0006-0000-0400-00002B000000}">
      <text>
        <r>
          <rPr>
            <b/>
            <sz val="9"/>
            <color indexed="81"/>
            <rFont val="MS P ゴシック"/>
            <family val="3"/>
            <charset val="128"/>
          </rPr>
          <t>2016/3/23
Target-&gt;YAG</t>
        </r>
      </text>
    </comment>
    <comment ref="G14" authorId="0" shapeId="0" xr:uid="{00000000-0006-0000-0400-00002C000000}">
      <text>
        <r>
          <rPr>
            <b/>
            <sz val="9"/>
            <color indexed="81"/>
            <rFont val="MS P ゴシック"/>
            <family val="3"/>
            <charset val="128"/>
          </rPr>
          <t>2016/3/23
YAG-&gt;OTR</t>
        </r>
      </text>
    </comment>
    <comment ref="L14" authorId="1" shapeId="0" xr:uid="{00000000-0006-0000-0400-00002D000000}">
      <text>
        <r>
          <rPr>
            <b/>
            <sz val="9"/>
            <color indexed="81"/>
            <rFont val="MS P ゴシック"/>
            <family val="3"/>
            <charset val="128"/>
          </rPr>
          <t>OTRの輪郭を描いてだいたい求めた</t>
        </r>
      </text>
    </comment>
    <comment ref="M14" authorId="1" shapeId="0" xr:uid="{00000000-0006-0000-0400-00002E000000}">
      <text>
        <r>
          <rPr>
            <b/>
            <sz val="9"/>
            <color indexed="81"/>
            <rFont val="MS P ゴシック"/>
            <family val="3"/>
            <charset val="128"/>
          </rPr>
          <t xml:space="preserve">C_y は1281だったが
1mmのシムを抜いて809になった
</t>
        </r>
      </text>
    </comment>
    <comment ref="AD14" authorId="1" shapeId="0" xr:uid="{00000000-0006-0000-0400-00002F000000}">
      <text>
        <r>
          <rPr>
            <b/>
            <sz val="9"/>
            <color indexed="81"/>
            <rFont val="ＭＳ Ｐゴシック"/>
            <family val="3"/>
            <charset val="128"/>
          </rPr>
          <t>kenichi:</t>
        </r>
        <r>
          <rPr>
            <sz val="9"/>
            <color indexed="81"/>
            <rFont val="ＭＳ Ｐゴシック"/>
            <family val="3"/>
            <charset val="128"/>
          </rPr>
          <t xml:space="preserve">
2014夏　変更</t>
        </r>
      </text>
    </comment>
    <comment ref="F15" authorId="4" shapeId="0" xr:uid="{00000000-0006-0000-0400-000030000000}">
      <text>
        <r>
          <rPr>
            <b/>
            <sz val="11"/>
            <color indexed="81"/>
            <rFont val="MS P ゴシック"/>
            <family val="3"/>
            <charset val="128"/>
          </rPr>
          <t>2019夏
OTRだと思っていたがYAGと判明</t>
        </r>
      </text>
    </comment>
    <comment ref="J16" authorId="1" shapeId="0" xr:uid="{00000000-0006-0000-0400-000031000000}">
      <text>
        <r>
          <rPr>
            <b/>
            <sz val="9"/>
            <color indexed="81"/>
            <rFont val="MS P ゴシック"/>
            <family val="3"/>
            <charset val="128"/>
          </rPr>
          <t xml:space="preserve">BL1-0-3 には、校正ターゲットはない
とりあえず、
GO-2400 の画素サイズは、5.86um
A10 の画素サイズは、8.3umです。
　現状、43.47 [um/pix] （A10の設定）になっております。
　　30.69  [um/pix] = 5.86/8.3 x 43.47
2021/01/08 3mmのSIMを入れて正しく算出
</t>
        </r>
      </text>
    </comment>
    <comment ref="K16" authorId="0" shapeId="0" xr:uid="{00000000-0006-0000-0400-000032000000}">
      <text>
        <r>
          <rPr>
            <b/>
            <sz val="9"/>
            <color indexed="81"/>
            <rFont val="MS P ゴシック"/>
            <family val="3"/>
            <charset val="128"/>
          </rPr>
          <t>2017/9/14
新設</t>
        </r>
      </text>
    </comment>
    <comment ref="F17" authorId="4" shapeId="0" xr:uid="{00000000-0006-0000-0400-000033000000}">
      <text>
        <r>
          <rPr>
            <b/>
            <sz val="11"/>
            <color indexed="81"/>
            <rFont val="MS P ゴシック"/>
            <family val="3"/>
            <charset val="128"/>
          </rPr>
          <t>2019夏
OTRだと思っていたがYAGと判明</t>
        </r>
      </text>
    </comment>
    <comment ref="F18" authorId="0" shapeId="0" xr:uid="{00000000-0006-0000-0400-000034000000}">
      <text>
        <r>
          <rPr>
            <b/>
            <sz val="9"/>
            <color indexed="81"/>
            <rFont val="MS P ゴシック"/>
            <family val="3"/>
            <charset val="128"/>
          </rPr>
          <t>2016夏
ミラーを穴有りから穴なしに交換予定</t>
        </r>
      </text>
    </comment>
    <comment ref="M18" authorId="1" shapeId="0" xr:uid="{00000000-0006-0000-0400-000035000000}">
      <text>
        <r>
          <rPr>
            <b/>
            <sz val="9"/>
            <color indexed="81"/>
            <rFont val="MS P ゴシック"/>
            <family val="3"/>
            <charset val="128"/>
          </rPr>
          <t>高さは可変なのでとりあげず真ん中</t>
        </r>
      </text>
    </comment>
    <comment ref="F21" authorId="0" shapeId="0" xr:uid="{00000000-0006-0000-0400-000036000000}">
      <text>
        <r>
          <rPr>
            <b/>
            <sz val="9"/>
            <color indexed="81"/>
            <rFont val="MS P ゴシック"/>
            <family val="3"/>
            <charset val="128"/>
          </rPr>
          <t>2016/3/25
YAG-&gt;OTR</t>
        </r>
      </text>
    </comment>
    <comment ref="K21" authorId="0" shapeId="0" xr:uid="{00000000-0006-0000-0400-000037000000}">
      <text>
        <r>
          <rPr>
            <b/>
            <sz val="9"/>
            <color indexed="81"/>
            <rFont val="MS P ゴシック"/>
            <family val="3"/>
            <charset val="128"/>
          </rPr>
          <t>2016/3/28
ターゲット交換に伴うピント再調整
17.63-&gt;17.54</t>
        </r>
      </text>
    </comment>
    <comment ref="J22" authorId="1" shapeId="0" xr:uid="{00000000-0006-0000-0400-000038000000}">
      <text>
        <r>
          <rPr>
            <b/>
            <sz val="9"/>
            <color indexed="81"/>
            <rFont val="MS P ゴシック"/>
            <family val="3"/>
            <charset val="128"/>
          </rPr>
          <t>dump のスクリーンの情報をお送りします。
　縦 100mm
　横 60mm</t>
        </r>
      </text>
    </comment>
    <comment ref="J23" authorId="1" shapeId="0" xr:uid="{00000000-0006-0000-0400-000039000000}">
      <text>
        <r>
          <rPr>
            <b/>
            <sz val="9"/>
            <color indexed="81"/>
            <rFont val="MS P ゴシック"/>
            <family val="3"/>
            <charset val="128"/>
          </rPr>
          <t>dump のスクリーンの情報をお送りします。
　縦 100mm
　横 60mm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author>
    <author>saclalog1</author>
  </authors>
  <commentList>
    <comment ref="AO1" authorId="0" shapeId="0" xr:uid="{00000000-0006-0000-0700-000001000000}">
      <text>
        <r>
          <rPr>
            <b/>
            <sz val="9"/>
            <color indexed="81"/>
            <rFont val="ＭＳ Ｐゴシック"/>
            <family val="3"/>
            <charset val="128"/>
          </rPr>
          <t>admini:</t>
        </r>
        <r>
          <rPr>
            <sz val="9"/>
            <color indexed="81"/>
            <rFont val="ＭＳ Ｐゴシック"/>
            <family val="3"/>
            <charset val="128"/>
          </rPr>
          <t xml:space="preserve">
0: LED無し
1: LED有り</t>
        </r>
      </text>
    </comment>
    <comment ref="AP1" authorId="0" shapeId="0" xr:uid="{00000000-0006-0000-0700-000002000000}">
      <text>
        <r>
          <rPr>
            <b/>
            <sz val="9"/>
            <color indexed="81"/>
            <rFont val="ＭＳ Ｐゴシック"/>
            <family val="3"/>
            <charset val="128"/>
          </rPr>
          <t>admini:</t>
        </r>
        <r>
          <rPr>
            <sz val="9"/>
            <color indexed="81"/>
            <rFont val="ＭＳ Ｐゴシック"/>
            <family val="3"/>
            <charset val="128"/>
          </rPr>
          <t xml:space="preserve">
0: LED調光無
1: LED調光有</t>
        </r>
      </text>
    </comment>
    <comment ref="AQ1" authorId="0" shapeId="0" xr:uid="{00000000-0006-0000-0700-000003000000}">
      <text>
        <r>
          <rPr>
            <b/>
            <sz val="9"/>
            <color indexed="81"/>
            <rFont val="ＭＳ Ｐゴシック"/>
            <family val="3"/>
            <charset val="128"/>
          </rPr>
          <t>admini:</t>
        </r>
        <r>
          <rPr>
            <sz val="9"/>
            <color indexed="81"/>
            <rFont val="ＭＳ Ｐゴシック"/>
            <family val="3"/>
            <charset val="128"/>
          </rPr>
          <t xml:space="preserve">
0: IRIS無し
1: IRIS有り</t>
        </r>
      </text>
    </comment>
    <comment ref="C2" authorId="1" shapeId="0" xr:uid="{00000000-0006-0000-0700-000004000000}">
      <text>
        <r>
          <rPr>
            <b/>
            <sz val="9"/>
            <color indexed="81"/>
            <rFont val="MS P ゴシック"/>
            <family val="3"/>
            <charset val="128"/>
          </rPr>
          <t>2018夏季停止に
VME変更に伴い名称変更
xfel_mon_fesca_1
scss_mon_fesca_1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SES10RP-7</author>
  </authors>
  <commentList>
    <comment ref="P1" authorId="0" shapeId="0" xr:uid="{00000000-0006-0000-0800-000001000000}">
      <text>
        <r>
          <rPr>
            <b/>
            <sz val="9"/>
            <color indexed="81"/>
            <rFont val="ＭＳ Ｐゴシック"/>
            <family val="3"/>
            <charset val="128"/>
          </rPr>
          <t xml:space="preserve">markerのサイズ
単位[mm]
</t>
        </r>
      </text>
    </comment>
    <comment ref="F2" authorId="0" shapeId="0" xr:uid="{00000000-0006-0000-0800-000002000000}">
      <text>
        <r>
          <rPr>
            <b/>
            <sz val="9"/>
            <color indexed="81"/>
            <rFont val="ＭＳ Ｐゴシック"/>
            <family val="3"/>
            <charset val="128"/>
          </rPr>
          <t>2015/12/23にゲートカメラの為にシリンダー交換
Target -&gt; Ce:YAG</t>
        </r>
      </text>
    </comment>
    <comment ref="J2" authorId="0" shapeId="0" xr:uid="{00000000-0006-0000-0800-000003000000}">
      <text>
        <r>
          <rPr>
            <b/>
            <sz val="9"/>
            <color indexed="81"/>
            <rFont val="ＭＳ Ｐゴシック"/>
            <family val="3"/>
            <charset val="128"/>
          </rPr>
          <t xml:space="preserve">2017/9/14
松原氏よりメール
夏季停止に反転させた
</t>
        </r>
      </text>
    </comment>
    <comment ref="F3" authorId="0" shapeId="0" xr:uid="{00000000-0006-0000-0800-000004000000}">
      <text>
        <r>
          <rPr>
            <b/>
            <sz val="9"/>
            <color indexed="81"/>
            <rFont val="ＭＳ Ｐゴシック"/>
            <family val="3"/>
            <charset val="128"/>
          </rPr>
          <t>2015/12/23にゲートカメラの為にシリンダー交換
Target -&gt; Ce:YAG</t>
        </r>
      </text>
    </comment>
    <comment ref="J3" authorId="0" shapeId="0" xr:uid="{00000000-0006-0000-0800-000005000000}">
      <text>
        <r>
          <rPr>
            <b/>
            <sz val="9"/>
            <color indexed="81"/>
            <rFont val="ＭＳ Ｐゴシック"/>
            <family val="3"/>
            <charset val="128"/>
          </rPr>
          <t>Run# 45183
Eve# 2221
1000[um] / sqrt(44^2+80^2) [px]</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saclalog1</author>
    <author>kenichi</author>
    <author>SES10RP-7</author>
    <author>Windows User</author>
  </authors>
  <commentList>
    <comment ref="B1" authorId="0" shapeId="0" xr:uid="{00000000-0006-0000-0900-000001000000}">
      <text>
        <r>
          <rPr>
            <b/>
            <sz val="9"/>
            <color indexed="81"/>
            <rFont val="MS P ゴシック"/>
            <family val="3"/>
            <charset val="128"/>
          </rPr>
          <t>電源の切入に使用
SvocList.srmon-ssbt1-03.ods のO</t>
        </r>
      </text>
    </comment>
    <comment ref="C1" authorId="0" shapeId="0" xr:uid="{00000000-0006-0000-0900-000002000000}">
      <text>
        <r>
          <rPr>
            <b/>
            <sz val="9"/>
            <color indexed="81"/>
            <rFont val="MS P ゴシック"/>
            <family val="3"/>
            <charset val="128"/>
          </rPr>
          <t xml:space="preserve">ゲイン、シャッタースピードなどの設定に使用
SvocList.srmon-ssbt1-03.ods のO
</t>
        </r>
      </text>
    </comment>
    <comment ref="D1" authorId="0" shapeId="0" xr:uid="{00000000-0006-0000-0900-000003000000}">
      <text>
        <r>
          <rPr>
            <b/>
            <sz val="9"/>
            <color indexed="81"/>
            <rFont val="MS P ゴシック"/>
            <family val="3"/>
            <charset val="128"/>
          </rPr>
          <t>カメラ切り替えに使用
SvocList.srmon-ssbt1-03.ods のC</t>
        </r>
      </text>
    </comment>
    <comment ref="H1" authorId="1" shapeId="0" xr:uid="{00000000-0006-0000-0900-000004000000}">
      <text>
        <r>
          <rPr>
            <b/>
            <sz val="9"/>
            <color indexed="81"/>
            <rFont val="MS P ゴシック"/>
            <family val="3"/>
            <charset val="128"/>
          </rPr>
          <t>3段式のは1or2を記入
2段式のは空欄
タイプの違いはcmd_led欄を参照</t>
        </r>
      </text>
    </comment>
    <comment ref="P1" authorId="2" shapeId="0" xr:uid="{00000000-0006-0000-0900-000005000000}">
      <text>
        <r>
          <rPr>
            <b/>
            <sz val="9"/>
            <color indexed="81"/>
            <rFont val="ＭＳ Ｐゴシック"/>
            <family val="3"/>
            <charset val="128"/>
          </rPr>
          <t xml:space="preserve">markerのサイズ
単位[mm]
</t>
        </r>
      </text>
    </comment>
    <comment ref="Q1" authorId="0" shapeId="0" xr:uid="{00000000-0006-0000-0900-000006000000}">
      <text>
        <r>
          <rPr>
            <b/>
            <sz val="9"/>
            <color indexed="81"/>
            <rFont val="MS P ゴシック"/>
            <family val="3"/>
            <charset val="128"/>
          </rPr>
          <t xml:space="preserve">MDAQ、カメラ切り替えに使用
サーバーごとに違うので注意
SvocList.srmon-ssbt1-03.ods のO
</t>
        </r>
      </text>
    </comment>
    <comment ref="R1" authorId="0" shapeId="0" xr:uid="{00000000-0006-0000-0900-000007000000}">
      <text>
        <r>
          <rPr>
            <b/>
            <sz val="9"/>
            <color indexed="81"/>
            <rFont val="MS P ゴシック"/>
            <family val="3"/>
            <charset val="128"/>
          </rPr>
          <t>LED  に使用
LEDは共通！！
\\xfelfs-ts.spring8.or.jp\share\svoc-work\SvocList\SP8\SR\srmon\
SvocList.srmon-ssbt1-01.ods</t>
        </r>
      </text>
    </comment>
    <comment ref="S1" authorId="3" shapeId="0" xr:uid="{00000000-0006-0000-0900-000008000000}">
      <text>
        <r>
          <rPr>
            <b/>
            <sz val="9"/>
            <color indexed="81"/>
            <rFont val="MS P ゴシック"/>
            <family val="3"/>
            <charset val="128"/>
          </rPr>
          <t xml:space="preserve">GUIでは使用してない
SVOC Listの
VMEを制御する関数の引数
</t>
        </r>
      </text>
    </comment>
    <comment ref="T1" authorId="0" shapeId="0" xr:uid="{00000000-0006-0000-0900-000009000000}">
      <text>
        <r>
          <rPr>
            <b/>
            <sz val="9"/>
            <color indexed="81"/>
            <rFont val="MS P ゴシック"/>
            <family val="3"/>
            <charset val="128"/>
          </rPr>
          <t xml:space="preserve">カメラのON/OFFに使用
SvocList.srmon-ssbt1-03.ods のO
</t>
        </r>
      </text>
    </comment>
    <comment ref="U1" authorId="0" shapeId="0" xr:uid="{00000000-0006-0000-0900-00000A000000}">
      <text>
        <r>
          <rPr>
            <b/>
            <sz val="9"/>
            <color indexed="81"/>
            <rFont val="MS P ゴシック"/>
            <family val="3"/>
            <charset val="128"/>
          </rPr>
          <t xml:space="preserve">カメラCLEAR/INSERT
に使用
旧名のままなので注意
SvocList.srmon-ssbt1-01.ods のC
</t>
        </r>
      </text>
    </comment>
    <comment ref="V1" authorId="1" shapeId="0" xr:uid="{00000000-0006-0000-0900-00000B000000}">
      <text>
        <r>
          <rPr>
            <b/>
            <sz val="9"/>
            <color indexed="81"/>
            <rFont val="MS P ゴシック"/>
            <family val="3"/>
            <charset val="128"/>
          </rPr>
          <t xml:space="preserve">LEDの点灯ステータス
空欄のところはステータス信号がない
</t>
        </r>
      </text>
    </comment>
    <comment ref="AT1" authorId="0" shapeId="0" xr:uid="{00000000-0006-0000-0900-00000C000000}">
      <text>
        <r>
          <rPr>
            <b/>
            <sz val="9"/>
            <color indexed="81"/>
            <rFont val="MS P ゴシック"/>
            <family val="3"/>
            <charset val="128"/>
          </rPr>
          <t>SACLA,SCSS+と違い
直接露光時間を指定
2020/3/16町田氏メールより</t>
        </r>
      </text>
    </comment>
    <comment ref="AU1" authorId="1" shapeId="0" xr:uid="{00000000-0006-0000-0900-00000D000000}">
      <text>
        <r>
          <rPr>
            <b/>
            <sz val="9"/>
            <color indexed="81"/>
            <rFont val="MS P ゴシック"/>
            <family val="3"/>
            <charset val="128"/>
          </rPr>
          <t>2020/3/16町田氏メールより</t>
        </r>
      </text>
    </comment>
    <comment ref="J2" authorId="0" shapeId="0" xr:uid="{00000000-0006-0000-0900-00000E000000}">
      <text>
        <r>
          <rPr>
            <b/>
            <sz val="9"/>
            <color indexed="81"/>
            <rFont val="MS P ゴシック"/>
            <family val="3"/>
            <charset val="128"/>
          </rPr>
          <t xml:space="preserve">INSERT2のYAGで算出
30mm×30mmのターゲット
</t>
        </r>
      </text>
    </comment>
    <comment ref="K2" authorId="0" shapeId="0" xr:uid="{00000000-0006-0000-0900-00000F000000}">
      <text>
        <r>
          <rPr>
            <b/>
            <sz val="9"/>
            <color indexed="81"/>
            <rFont val="MS P ゴシック"/>
            <family val="3"/>
            <charset val="128"/>
          </rPr>
          <t xml:space="preserve">INSERT2のYAGで算出
30mm×30mmのターゲット
</t>
        </r>
      </text>
    </comment>
    <comment ref="N2" authorId="1" shapeId="0" xr:uid="{00000000-0006-0000-0900-000010000000}">
      <text>
        <r>
          <rPr>
            <b/>
            <sz val="9"/>
            <color indexed="81"/>
            <rFont val="MS P ゴシック"/>
            <family val="3"/>
            <charset val="128"/>
          </rPr>
          <t>2020/3/16反転直した</t>
        </r>
      </text>
    </comment>
    <comment ref="O2" authorId="1" shapeId="0" xr:uid="{00000000-0006-0000-0900-000011000000}">
      <text>
        <r>
          <rPr>
            <b/>
            <sz val="9"/>
            <color indexed="81"/>
            <rFont val="MS P ゴシック"/>
            <family val="3"/>
            <charset val="128"/>
          </rPr>
          <t>上下も反転していることが判明したがとりあえずGUIでは反転しないでおく
2020/3/13
2020/3/16直した</t>
        </r>
      </text>
    </comment>
    <comment ref="N3" authorId="1" shapeId="0" xr:uid="{00000000-0006-0000-0900-000012000000}">
      <text>
        <r>
          <rPr>
            <b/>
            <sz val="9"/>
            <color indexed="81"/>
            <rFont val="MS P ゴシック"/>
            <family val="3"/>
            <charset val="128"/>
          </rPr>
          <t>2020/3/16反転直した</t>
        </r>
      </text>
    </comment>
    <comment ref="O3" authorId="1" shapeId="0" xr:uid="{00000000-0006-0000-0900-000013000000}">
      <text>
        <r>
          <rPr>
            <b/>
            <sz val="9"/>
            <color indexed="81"/>
            <rFont val="MS P ゴシック"/>
            <family val="3"/>
            <charset val="128"/>
          </rPr>
          <t>上下も反転していることが判明したがとりあえずGUIでは反転しないでおく
2020/3/13
2020/3/16直した</t>
        </r>
      </text>
    </comment>
    <comment ref="N10" authorId="1" shapeId="0" xr:uid="{00000000-0006-0000-0900-000014000000}">
      <text>
        <r>
          <rPr>
            <b/>
            <sz val="9"/>
            <color indexed="81"/>
            <rFont val="MS P ゴシック"/>
            <family val="3"/>
            <charset val="128"/>
          </rPr>
          <t>左右反転していたが明昌が設置しなおした</t>
        </r>
      </text>
    </comment>
    <comment ref="O10" authorId="1" shapeId="0" xr:uid="{00000000-0006-0000-0900-000015000000}">
      <text>
        <r>
          <rPr>
            <b/>
            <sz val="9"/>
            <color indexed="81"/>
            <rFont val="MS P ゴシック"/>
            <family val="3"/>
            <charset val="128"/>
          </rPr>
          <t>上下も反転していることが判明したがとりあえずGUIでは反転しないでおく
2020/3/13</t>
        </r>
      </text>
    </comment>
    <comment ref="N13" authorId="1" shapeId="0" xr:uid="{00000000-0006-0000-0900-000016000000}">
      <text>
        <r>
          <rPr>
            <b/>
            <sz val="9"/>
            <color indexed="81"/>
            <rFont val="MS P ゴシック"/>
            <family val="3"/>
            <charset val="128"/>
          </rPr>
          <t>左右反転していたが明昌が設置しなおした</t>
        </r>
      </text>
    </comment>
    <comment ref="O13" authorId="1" shapeId="0" xr:uid="{00000000-0006-0000-0900-000017000000}">
      <text>
        <r>
          <rPr>
            <b/>
            <sz val="9"/>
            <color indexed="81"/>
            <rFont val="MS P ゴシック"/>
            <family val="3"/>
            <charset val="128"/>
          </rPr>
          <t>上下も反転していることが判明したがとりあえずGUIでは反転しないでおく
2020/3/13</t>
        </r>
      </text>
    </comment>
    <comment ref="J16" authorId="1" shapeId="0" xr:uid="{00000000-0006-0000-0900-000018000000}">
      <text>
        <r>
          <rPr>
            <b/>
            <sz val="9"/>
            <color indexed="81"/>
            <rFont val="MS P ゴシック"/>
            <family val="3"/>
            <charset val="128"/>
          </rPr>
          <t xml:space="preserve">BL1-0-3 には、校正ターゲットはない
とりあえず、
GO-2400 の画素サイズは、5.86um
A10 の画素サイズは、8.3umです。
　現状、43.47 [um/pix] （A10の設定）になっております。
　　30.69  [um/pix] = 5.86/8.3 x 43.47
2021/01/08 3mmのSIMを入れて正しく算出
</t>
        </r>
      </text>
    </comment>
    <comment ref="K16" authorId="0" shapeId="0" xr:uid="{00000000-0006-0000-0900-000019000000}">
      <text>
        <r>
          <rPr>
            <b/>
            <sz val="9"/>
            <color indexed="81"/>
            <rFont val="MS P ゴシック"/>
            <family val="3"/>
            <charset val="128"/>
          </rPr>
          <t>2017/9/14
新設</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saclalog1</author>
    <author>kenichi</author>
    <author>SES10RP-7</author>
    <author>Windows User</author>
  </authors>
  <commentList>
    <comment ref="B1" authorId="0" shapeId="0" xr:uid="{00000000-0006-0000-0A00-000001000000}">
      <text>
        <r>
          <rPr>
            <b/>
            <sz val="9"/>
            <color indexed="81"/>
            <rFont val="MS P ゴシック"/>
            <family val="3"/>
            <charset val="128"/>
          </rPr>
          <t>電源の切入に使用
SvocList.srmon-ssbt1-03.ods のO</t>
        </r>
      </text>
    </comment>
    <comment ref="C1" authorId="0" shapeId="0" xr:uid="{00000000-0006-0000-0A00-000002000000}">
      <text>
        <r>
          <rPr>
            <b/>
            <sz val="9"/>
            <color indexed="81"/>
            <rFont val="MS P ゴシック"/>
            <family val="3"/>
            <charset val="128"/>
          </rPr>
          <t xml:space="preserve">ゲイン、シャッタースピードなどの設定に使用
SvocList.srmon-ssbt1-03.ods のO
</t>
        </r>
      </text>
    </comment>
    <comment ref="D1" authorId="0" shapeId="0" xr:uid="{00000000-0006-0000-0A00-000003000000}">
      <text>
        <r>
          <rPr>
            <b/>
            <sz val="9"/>
            <color indexed="81"/>
            <rFont val="MS P ゴシック"/>
            <family val="3"/>
            <charset val="128"/>
          </rPr>
          <t>カメラ切り替えに使用
SvocList.srmon-ssbt1-03.ods のC</t>
        </r>
      </text>
    </comment>
    <comment ref="H1" authorId="1" shapeId="0" xr:uid="{00000000-0006-0000-0A00-000004000000}">
      <text>
        <r>
          <rPr>
            <b/>
            <sz val="9"/>
            <color indexed="81"/>
            <rFont val="MS P ゴシック"/>
            <family val="3"/>
            <charset val="128"/>
          </rPr>
          <t>3段式のは1or2を記入
2段式のは空欄
タイプの違いはcmd_led欄を参照</t>
        </r>
      </text>
    </comment>
    <comment ref="K1" authorId="1" shapeId="0" xr:uid="{00000000-0006-0000-0A00-000005000000}">
      <text>
        <r>
          <rPr>
            <b/>
            <sz val="9"/>
            <color indexed="81"/>
            <rFont val="MS P ゴシック"/>
            <family val="3"/>
            <charset val="128"/>
          </rPr>
          <t>10</t>
        </r>
      </text>
    </comment>
    <comment ref="L1" authorId="1" shapeId="0" xr:uid="{00000000-0006-0000-0A00-000006000000}">
      <text>
        <r>
          <rPr>
            <b/>
            <sz val="9"/>
            <color indexed="81"/>
            <rFont val="MS P ゴシック"/>
            <family val="3"/>
            <charset val="128"/>
          </rPr>
          <t>画像左上を原点とする</t>
        </r>
      </text>
    </comment>
    <comment ref="M1" authorId="1" shapeId="0" xr:uid="{00000000-0006-0000-0A00-000007000000}">
      <text>
        <r>
          <rPr>
            <b/>
            <sz val="9"/>
            <color indexed="81"/>
            <rFont val="MS P ゴシック"/>
            <family val="3"/>
            <charset val="128"/>
          </rPr>
          <t>画像左上を原点とする</t>
        </r>
      </text>
    </comment>
    <comment ref="P1" authorId="2" shapeId="0" xr:uid="{00000000-0006-0000-0A00-000008000000}">
      <text>
        <r>
          <rPr>
            <b/>
            <sz val="9"/>
            <color indexed="81"/>
            <rFont val="ＭＳ Ｐゴシック"/>
            <family val="3"/>
            <charset val="128"/>
          </rPr>
          <t xml:space="preserve">markerのサイズ
単位[mm]
</t>
        </r>
      </text>
    </comment>
    <comment ref="Q1" authorId="0" shapeId="0" xr:uid="{00000000-0006-0000-0A00-000009000000}">
      <text>
        <r>
          <rPr>
            <b/>
            <sz val="9"/>
            <color indexed="81"/>
            <rFont val="MS P ゴシック"/>
            <family val="3"/>
            <charset val="128"/>
          </rPr>
          <t xml:space="preserve">MDAQ、カメラ切り替えに使用
サーバーごとに違うので注意
SvocList.srmon-ssbt1-03.ods のO
</t>
        </r>
      </text>
    </comment>
    <comment ref="R1" authorId="0" shapeId="0" xr:uid="{00000000-0006-0000-0A00-00000A000000}">
      <text>
        <r>
          <rPr>
            <b/>
            <sz val="9"/>
            <color indexed="81"/>
            <rFont val="MS P ゴシック"/>
            <family val="3"/>
            <charset val="128"/>
          </rPr>
          <t xml:space="preserve">LED  に使用
</t>
        </r>
      </text>
    </comment>
    <comment ref="S1" authorId="3" shapeId="0" xr:uid="{00000000-0006-0000-0A00-00000B000000}">
      <text>
        <r>
          <rPr>
            <b/>
            <sz val="9"/>
            <color indexed="81"/>
            <rFont val="MS P ゴシック"/>
            <family val="3"/>
            <charset val="128"/>
          </rPr>
          <t xml:space="preserve">GUIでは使用してない
SVOC Listの
VMEを制御する関数の引数
</t>
        </r>
      </text>
    </comment>
    <comment ref="T1" authorId="0" shapeId="0" xr:uid="{00000000-0006-0000-0A00-00000C000000}">
      <text>
        <r>
          <rPr>
            <b/>
            <sz val="9"/>
            <color indexed="81"/>
            <rFont val="MS P ゴシック"/>
            <family val="3"/>
            <charset val="128"/>
          </rPr>
          <t xml:space="preserve">カメラのON/OFFに使用
SvocList.srmon-ssbt1-03.ods のO
</t>
        </r>
      </text>
    </comment>
    <comment ref="U1" authorId="0" shapeId="0" xr:uid="{00000000-0006-0000-0A00-00000D000000}">
      <text>
        <r>
          <rPr>
            <b/>
            <sz val="9"/>
            <color indexed="81"/>
            <rFont val="MS P ゴシック"/>
            <family val="3"/>
            <charset val="128"/>
          </rPr>
          <t xml:space="preserve">20
カメラCLEAR/INSERT
に使用
旧名のままなので注意
SvocList.srmon-ssbt1-01.ods のC
</t>
        </r>
      </text>
    </comment>
    <comment ref="V1" authorId="1" shapeId="0" xr:uid="{00000000-0006-0000-0A00-00000E000000}">
      <text>
        <r>
          <rPr>
            <b/>
            <sz val="9"/>
            <color indexed="81"/>
            <rFont val="MS P ゴシック"/>
            <family val="3"/>
            <charset val="128"/>
          </rPr>
          <t xml:space="preserve">LEDの点灯ステータス
空欄のところはステータス信号がない
</t>
        </r>
      </text>
    </comment>
    <comment ref="AE1" authorId="1" shapeId="0" xr:uid="{00000000-0006-0000-0A00-00000F000000}">
      <text>
        <r>
          <rPr>
            <b/>
            <sz val="9"/>
            <color indexed="81"/>
            <rFont val="MS P ゴシック"/>
            <family val="3"/>
            <charset val="128"/>
          </rPr>
          <t xml:space="preserve">30
</t>
        </r>
      </text>
    </comment>
    <comment ref="AI1" authorId="1" shapeId="0" xr:uid="{00000000-0006-0000-0A00-000010000000}">
      <text>
        <r>
          <rPr>
            <b/>
            <sz val="9"/>
            <color indexed="81"/>
            <rFont val="MS P ゴシック"/>
            <family val="3"/>
            <charset val="128"/>
          </rPr>
          <t>for Qt GUI</t>
        </r>
      </text>
    </comment>
    <comment ref="AJ1" authorId="1" shapeId="0" xr:uid="{00000000-0006-0000-0A00-000011000000}">
      <text>
        <r>
          <rPr>
            <b/>
            <sz val="9"/>
            <color indexed="81"/>
            <rFont val="MS P ゴシック"/>
            <family val="3"/>
            <charset val="128"/>
          </rPr>
          <t>for Qt GUI</t>
        </r>
      </text>
    </comment>
    <comment ref="AK1" authorId="1" shapeId="0" xr:uid="{00000000-0006-0000-0A00-000012000000}">
      <text>
        <r>
          <rPr>
            <b/>
            <sz val="9"/>
            <color indexed="81"/>
            <rFont val="MS P ゴシック"/>
            <family val="3"/>
            <charset val="128"/>
          </rPr>
          <t>for Qt GUI</t>
        </r>
      </text>
    </comment>
    <comment ref="AL1" authorId="1" shapeId="0" xr:uid="{00000000-0006-0000-0A00-000013000000}">
      <text>
        <r>
          <rPr>
            <b/>
            <sz val="9"/>
            <color indexed="81"/>
            <rFont val="MS P ゴシック"/>
            <family val="3"/>
            <charset val="128"/>
          </rPr>
          <t>for Qt GUI</t>
        </r>
      </text>
    </comment>
    <comment ref="AM1" authorId="1" shapeId="0" xr:uid="{00000000-0006-0000-0A00-000014000000}">
      <text>
        <r>
          <rPr>
            <b/>
            <sz val="9"/>
            <color indexed="81"/>
            <rFont val="MS P ゴシック"/>
            <family val="3"/>
            <charset val="128"/>
          </rPr>
          <t>for Qt GUI</t>
        </r>
      </text>
    </comment>
    <comment ref="AT1" authorId="0" shapeId="0" xr:uid="{00000000-0006-0000-0A00-000015000000}">
      <text>
        <r>
          <rPr>
            <b/>
            <sz val="9"/>
            <color indexed="81"/>
            <rFont val="MS P ゴシック"/>
            <family val="3"/>
            <charset val="128"/>
          </rPr>
          <t>SACLA,SCSS+と違い
直接露光時間を指定
2020/3/16町田氏メールより</t>
        </r>
      </text>
    </comment>
    <comment ref="AU1" authorId="1" shapeId="0" xr:uid="{00000000-0006-0000-0A00-000016000000}">
      <text>
        <r>
          <rPr>
            <b/>
            <sz val="9"/>
            <color indexed="81"/>
            <rFont val="MS P ゴシック"/>
            <family val="3"/>
            <charset val="128"/>
          </rPr>
          <t>2020/3/16町田氏メールより</t>
        </r>
      </text>
    </comment>
    <comment ref="J2" authorId="0" shapeId="0" xr:uid="{00000000-0006-0000-0A00-000017000000}">
      <text>
        <r>
          <rPr>
            <b/>
            <sz val="9"/>
            <color indexed="81"/>
            <rFont val="MS P ゴシック"/>
            <family val="3"/>
            <charset val="128"/>
          </rPr>
          <t xml:space="preserve">INSERT2のYAGで算出
30mm×30mmのターゲット
</t>
        </r>
      </text>
    </comment>
    <comment ref="K2" authorId="0" shapeId="0" xr:uid="{00000000-0006-0000-0A00-000018000000}">
      <text>
        <r>
          <rPr>
            <b/>
            <sz val="9"/>
            <color indexed="81"/>
            <rFont val="MS P ゴシック"/>
            <family val="3"/>
            <charset val="128"/>
          </rPr>
          <t xml:space="preserve">INSERT2のYAGで算出
30mm×30mmのターゲット
</t>
        </r>
      </text>
    </comment>
    <comment ref="N2" authorId="1" shapeId="0" xr:uid="{00000000-0006-0000-0A00-000019000000}">
      <text>
        <r>
          <rPr>
            <b/>
            <sz val="9"/>
            <color indexed="81"/>
            <rFont val="MS P ゴシック"/>
            <family val="3"/>
            <charset val="128"/>
          </rPr>
          <t>2020/3/16反転直した</t>
        </r>
      </text>
    </comment>
    <comment ref="O2" authorId="1" shapeId="0" xr:uid="{00000000-0006-0000-0A00-00001A000000}">
      <text>
        <r>
          <rPr>
            <b/>
            <sz val="9"/>
            <color indexed="81"/>
            <rFont val="MS P ゴシック"/>
            <family val="3"/>
            <charset val="128"/>
          </rPr>
          <t>上下も反転していることが判明したがとりあえずGUIでは反転しないでおく
2020/3/13
2020/3/16直した</t>
        </r>
      </text>
    </comment>
    <comment ref="N3" authorId="1" shapeId="0" xr:uid="{00000000-0006-0000-0A00-00001B000000}">
      <text>
        <r>
          <rPr>
            <b/>
            <sz val="9"/>
            <color indexed="81"/>
            <rFont val="MS P ゴシック"/>
            <family val="3"/>
            <charset val="128"/>
          </rPr>
          <t>2020/3/16反転直した</t>
        </r>
      </text>
    </comment>
    <comment ref="O3" authorId="1" shapeId="0" xr:uid="{00000000-0006-0000-0A00-00001C000000}">
      <text>
        <r>
          <rPr>
            <b/>
            <sz val="9"/>
            <color indexed="81"/>
            <rFont val="MS P ゴシック"/>
            <family val="3"/>
            <charset val="128"/>
          </rPr>
          <t>上下も反転していることが判明したがとりあえずGUIでは反転しないでおく
2020/3/13
2020/3/16直した</t>
        </r>
      </text>
    </comment>
    <comment ref="N10" authorId="1" shapeId="0" xr:uid="{00000000-0006-0000-0A00-00001D000000}">
      <text>
        <r>
          <rPr>
            <b/>
            <sz val="9"/>
            <color indexed="81"/>
            <rFont val="MS P ゴシック"/>
            <family val="3"/>
            <charset val="128"/>
          </rPr>
          <t>左右反転していたが明昌が設置しなおした</t>
        </r>
      </text>
    </comment>
    <comment ref="O10" authorId="1" shapeId="0" xr:uid="{00000000-0006-0000-0A00-00001E000000}">
      <text>
        <r>
          <rPr>
            <b/>
            <sz val="9"/>
            <color indexed="81"/>
            <rFont val="MS P ゴシック"/>
            <family val="3"/>
            <charset val="128"/>
          </rPr>
          <t>上下も反転していることが判明したがとりあえずGUIでは反転しないでおく
2020/3/13</t>
        </r>
      </text>
    </comment>
    <comment ref="N13" authorId="1" shapeId="0" xr:uid="{00000000-0006-0000-0A00-00001F000000}">
      <text>
        <r>
          <rPr>
            <b/>
            <sz val="9"/>
            <color indexed="81"/>
            <rFont val="MS P ゴシック"/>
            <family val="3"/>
            <charset val="128"/>
          </rPr>
          <t>左右反転していたが明昌が設置しなおした</t>
        </r>
      </text>
    </comment>
    <comment ref="O13" authorId="1" shapeId="0" xr:uid="{00000000-0006-0000-0A00-000020000000}">
      <text>
        <r>
          <rPr>
            <b/>
            <sz val="9"/>
            <color indexed="81"/>
            <rFont val="MS P ゴシック"/>
            <family val="3"/>
            <charset val="128"/>
          </rPr>
          <t>上下も反転していることが判明したがとりあえずGUIでは反転しないでおく
2020/3/13</t>
        </r>
      </text>
    </comment>
    <comment ref="J15" authorId="1" shapeId="0" xr:uid="{00000000-0006-0000-0A00-000021000000}">
      <text>
        <r>
          <rPr>
            <b/>
            <sz val="9"/>
            <color indexed="81"/>
            <rFont val="MS P ゴシック"/>
            <family val="3"/>
            <charset val="128"/>
          </rPr>
          <t xml:space="preserve">BL1-0-3 には、校正ターゲットはない
とりあえず、
GO-2400 の画素サイズは、5.86um
A10 の画素サイズは、8.3umです。
　現状、43.47 [um/pix] （A10の設定）になっております。
　　30.69  [um/pix] = 5.86/8.3 x 43.47
2021/01/08 3mmのSIMを入れて正しく算出
</t>
        </r>
      </text>
    </comment>
    <comment ref="K15" authorId="0" shapeId="0" xr:uid="{00000000-0006-0000-0A00-000022000000}">
      <text>
        <r>
          <rPr>
            <b/>
            <sz val="9"/>
            <color indexed="81"/>
            <rFont val="MS P ゴシック"/>
            <family val="3"/>
            <charset val="128"/>
          </rPr>
          <t>2017/9/14
新設</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admini</author>
    <author>kenichi</author>
    <author>saclalog1</author>
  </authors>
  <commentList>
    <comment ref="C46" authorId="0" shapeId="0" xr:uid="{00000000-0006-0000-0C00-000001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C47" authorId="0" shapeId="0" xr:uid="{00000000-0006-0000-0C00-000002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C48" authorId="0" shapeId="0" xr:uid="{00000000-0006-0000-0C00-000003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C53" authorId="0" shapeId="0" xr:uid="{00000000-0006-0000-0C00-000004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C54" authorId="0" shapeId="0" xr:uid="{00000000-0006-0000-0C00-000005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C55" authorId="0" shapeId="0" xr:uid="{00000000-0006-0000-0C00-000006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C56" authorId="0" shapeId="0" xr:uid="{00000000-0006-0000-0C00-000007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C57" authorId="0" shapeId="0" xr:uid="{00000000-0006-0000-0C00-000008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C58" authorId="0" shapeId="0" xr:uid="{00000000-0006-0000-0C00-000009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C77" authorId="1" shapeId="0" xr:uid="{00000000-0006-0000-0C00-00000A000000}">
      <text>
        <r>
          <rPr>
            <sz val="9"/>
            <color indexed="81"/>
            <rFont val="ＭＳ Ｐゴシック"/>
            <family val="3"/>
            <charset val="128"/>
          </rPr>
          <t>2015夏名前変更
scm_bl1_3_1
から
scm_bl1_3_1_1</t>
        </r>
      </text>
    </comment>
    <comment ref="C78" authorId="1" shapeId="0" xr:uid="{00000000-0006-0000-0C00-00000B000000}">
      <text>
        <r>
          <rPr>
            <b/>
            <sz val="9"/>
            <color indexed="81"/>
            <rFont val="ＭＳ Ｐゴシック"/>
            <family val="3"/>
            <charset val="128"/>
          </rPr>
          <t>2015夏名前変更
scm_bl1_3_2
から
scm_bl1_3_2_1</t>
        </r>
      </text>
    </comment>
    <comment ref="C79" authorId="0" shapeId="0" xr:uid="{00000000-0006-0000-0C00-00000C000000}">
      <text>
        <r>
          <rPr>
            <b/>
            <sz val="9"/>
            <color indexed="81"/>
            <rFont val="ＭＳ Ｐゴシック"/>
            <family val="3"/>
            <charset val="128"/>
          </rPr>
          <t>2015夏名前変更
scm_bl1_3_3
から
scm_bl1_3_2_2</t>
        </r>
      </text>
    </comment>
    <comment ref="C127" authorId="0" shapeId="0" xr:uid="{00000000-0006-0000-0C00-00000D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C128" authorId="0" shapeId="0" xr:uid="{00000000-0006-0000-0C00-00000E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C129" authorId="1" shapeId="0" xr:uid="{00000000-0006-0000-0C00-00000F000000}">
      <text>
        <r>
          <rPr>
            <sz val="9"/>
            <color indexed="81"/>
            <rFont val="ＭＳ Ｐゴシック"/>
            <family val="3"/>
            <charset val="128"/>
          </rPr>
          <t>2015夏名前変更
scm_bl1_3_1
から
scm_bl1_3_1_1</t>
        </r>
      </text>
    </comment>
    <comment ref="C133" authorId="0" shapeId="0" xr:uid="{00000000-0006-0000-0C00-000010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C134" authorId="0" shapeId="0" xr:uid="{00000000-0006-0000-0C00-000011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C135" authorId="0" shapeId="0" xr:uid="{00000000-0006-0000-0C00-000012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C136" authorId="0" shapeId="0" xr:uid="{00000000-0006-0000-0C00-000013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C138" authorId="0" shapeId="0" xr:uid="{00000000-0006-0000-0C00-000014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C139" authorId="0" shapeId="0" xr:uid="{00000000-0006-0000-0C00-000015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C145" authorId="1" shapeId="0" xr:uid="{00000000-0006-0000-0C00-000016000000}">
      <text>
        <r>
          <rPr>
            <sz val="9"/>
            <color indexed="81"/>
            <rFont val="ＭＳ Ｐゴシック"/>
            <family val="3"/>
            <charset val="128"/>
          </rPr>
          <t>2015夏名前変更
scm_bl1_3_1
から
scm_bl1_3_1_1</t>
        </r>
      </text>
    </comment>
    <comment ref="C146" authorId="1" shapeId="0" xr:uid="{00000000-0006-0000-0C00-000017000000}">
      <text>
        <r>
          <rPr>
            <b/>
            <sz val="9"/>
            <color indexed="81"/>
            <rFont val="ＭＳ Ｐゴシック"/>
            <family val="3"/>
            <charset val="128"/>
          </rPr>
          <t>2015夏名前変更
scm_bl1_3_2
から
scm_bl1_3_2_1</t>
        </r>
      </text>
    </comment>
    <comment ref="C147" authorId="0" shapeId="0" xr:uid="{00000000-0006-0000-0C00-000018000000}">
      <text>
        <r>
          <rPr>
            <b/>
            <sz val="9"/>
            <color indexed="81"/>
            <rFont val="ＭＳ Ｐゴシック"/>
            <family val="3"/>
            <charset val="128"/>
          </rPr>
          <t>2015夏名前変更
scm_bl1_3_3
から
scm_bl1_3_2_2</t>
        </r>
      </text>
    </comment>
    <comment ref="C148" authorId="0" shapeId="0" xr:uid="{00000000-0006-0000-0C00-000019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C149" authorId="0" shapeId="0" xr:uid="{00000000-0006-0000-0C00-00001A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C150" authorId="0" shapeId="0" xr:uid="{00000000-0006-0000-0C00-00001B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C161" authorId="1" shapeId="0" xr:uid="{00000000-0006-0000-0C00-00001C000000}">
      <text>
        <r>
          <rPr>
            <b/>
            <sz val="9"/>
            <color indexed="81"/>
            <rFont val="ＭＳ Ｐゴシック"/>
            <family val="3"/>
            <charset val="128"/>
          </rPr>
          <t>2015夏名前変更
scm_bl1_3_2
から
scm_bl1_3_2_1</t>
        </r>
      </text>
    </comment>
    <comment ref="C162" authorId="0" shapeId="0" xr:uid="{00000000-0006-0000-0C00-00001D000000}">
      <text>
        <r>
          <rPr>
            <b/>
            <sz val="9"/>
            <color indexed="81"/>
            <rFont val="ＭＳ Ｐゴシック"/>
            <family val="3"/>
            <charset val="128"/>
          </rPr>
          <t>2015夏名前変更
scm_bl1_3_3
から
scm_bl1_3_2_2</t>
        </r>
      </text>
    </comment>
    <comment ref="D184" authorId="2" shapeId="0" xr:uid="{00000000-0006-0000-0C00-00001E000000}">
      <text>
        <r>
          <rPr>
            <b/>
            <sz val="9"/>
            <color indexed="81"/>
            <rFont val="MS P ゴシック"/>
            <family val="3"/>
            <charset val="128"/>
          </rPr>
          <t>scss_mon_scm_s_bc2_4_stage_ccd/error_status</t>
        </r>
      </text>
    </comment>
    <comment ref="C267" authorId="2" shapeId="0" xr:uid="{00000000-0006-0000-0C00-00001F000000}">
      <text>
        <r>
          <rPr>
            <b/>
            <sz val="9"/>
            <color indexed="81"/>
            <rFont val="MS P ゴシック"/>
            <family val="3"/>
            <charset val="128"/>
          </rPr>
          <t>追加予定</t>
        </r>
      </text>
    </comment>
    <comment ref="C280" authorId="1" shapeId="0" xr:uid="{00000000-0006-0000-0C00-000020000000}">
      <text>
        <r>
          <rPr>
            <b/>
            <sz val="9"/>
            <color indexed="81"/>
            <rFont val="ＭＳ Ｐゴシック"/>
            <family val="3"/>
            <charset val="128"/>
          </rPr>
          <t>2015夏名前変更
scm_bl1_3_2
から
scm_bl1_3_2_1</t>
        </r>
      </text>
    </comment>
    <comment ref="C281" authorId="0" shapeId="0" xr:uid="{00000000-0006-0000-0C00-000021000000}">
      <text>
        <r>
          <rPr>
            <b/>
            <sz val="9"/>
            <color indexed="81"/>
            <rFont val="ＭＳ Ｐゴシック"/>
            <family val="3"/>
            <charset val="128"/>
          </rPr>
          <t>2015夏名前変更
scm_bl1_3_3
から
scm_bl1_3_2_2</t>
        </r>
      </text>
    </comment>
    <comment ref="C291" authorId="1" shapeId="0" xr:uid="{00000000-0006-0000-0C00-000022000000}">
      <text>
        <r>
          <rPr>
            <sz val="9"/>
            <color indexed="81"/>
            <rFont val="ＭＳ Ｐゴシック"/>
            <family val="3"/>
            <charset val="128"/>
          </rPr>
          <t>2015夏名前変更
scm_bl1_3_1
から
scm_bl1_3_1_1</t>
        </r>
      </text>
    </comment>
    <comment ref="C293" authorId="0" shapeId="0" xr:uid="{00000000-0006-0000-0C00-000023000000}">
      <text>
        <r>
          <rPr>
            <b/>
            <sz val="9"/>
            <color indexed="81"/>
            <rFont val="ＭＳ Ｐゴシック"/>
            <family val="3"/>
            <charset val="128"/>
          </rPr>
          <t>2015夏名前変更
scm_bl1_3_3
から
scm_bl1_3_2_2</t>
        </r>
      </text>
    </comment>
    <comment ref="C296" authorId="1" shapeId="0" xr:uid="{00000000-0006-0000-0C00-000024000000}">
      <text>
        <r>
          <rPr>
            <sz val="9"/>
            <color indexed="81"/>
            <rFont val="ＭＳ Ｐゴシック"/>
            <family val="3"/>
            <charset val="128"/>
          </rPr>
          <t>2015夏名前変更
scm_bl1_3_1
から
scm_bl1_3_1_1</t>
        </r>
      </text>
    </comment>
    <comment ref="C297" authorId="1" shapeId="0" xr:uid="{00000000-0006-0000-0C00-000025000000}">
      <text>
        <r>
          <rPr>
            <sz val="9"/>
            <color indexed="81"/>
            <rFont val="ＭＳ Ｐゴシック"/>
            <family val="3"/>
            <charset val="128"/>
          </rPr>
          <t>2015夏名前変更
scm_bl1_3_1
から
scm_bl1_3_1_1</t>
        </r>
      </text>
    </comment>
    <comment ref="C305" authorId="0" shapeId="0" xr:uid="{00000000-0006-0000-0C00-000026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C308" authorId="0" shapeId="0" xr:uid="{00000000-0006-0000-0C00-000027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C309" authorId="0" shapeId="0" xr:uid="{00000000-0006-0000-0C00-000028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C311" authorId="0" shapeId="0" xr:uid="{00000000-0006-0000-0C00-000029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C312" authorId="0" shapeId="0" xr:uid="{00000000-0006-0000-0C00-00002A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C328" authorId="2" shapeId="0" xr:uid="{00000000-0006-0000-0C00-00002B000000}">
      <text>
        <r>
          <rPr>
            <b/>
            <sz val="9"/>
            <color indexed="81"/>
            <rFont val="MS P ゴシック"/>
            <family val="3"/>
            <charset val="128"/>
          </rPr>
          <t>2019夏追加</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admini</author>
    <author>SES10RP-7</author>
  </authors>
  <commentList>
    <comment ref="Y1" authorId="0" shapeId="0" xr:uid="{00000000-0006-0000-0D00-000001000000}">
      <text>
        <r>
          <rPr>
            <b/>
            <sz val="9"/>
            <color indexed="81"/>
            <rFont val="ＭＳ Ｐゴシック"/>
            <family val="3"/>
            <charset val="128"/>
          </rPr>
          <t>admini:</t>
        </r>
        <r>
          <rPr>
            <sz val="9"/>
            <color indexed="81"/>
            <rFont val="ＭＳ Ｐゴシック"/>
            <family val="3"/>
            <charset val="128"/>
          </rPr>
          <t xml:space="preserve">
BL3ピント調整前の点検</t>
        </r>
      </text>
    </comment>
    <comment ref="A24" authorId="1" shapeId="0" xr:uid="{00000000-0006-0000-0D00-000002000000}">
      <text>
        <r>
          <rPr>
            <b/>
            <sz val="9"/>
            <color indexed="81"/>
            <rFont val="ＭＳ Ｐゴシック"/>
            <family val="3"/>
            <charset val="128"/>
          </rPr>
          <t>2015夏　SCSS+ BC2_2でA10のカメラを使いたかったため取外し</t>
        </r>
      </text>
    </comment>
    <comment ref="B40" authorId="0" shapeId="0" xr:uid="{00000000-0006-0000-0D00-000003000000}">
      <text>
        <r>
          <rPr>
            <b/>
            <sz val="9"/>
            <color indexed="81"/>
            <rFont val="ＭＳ Ｐゴシック"/>
            <family val="3"/>
            <charset val="128"/>
          </rPr>
          <t>admini:</t>
        </r>
        <r>
          <rPr>
            <sz val="9"/>
            <color indexed="81"/>
            <rFont val="ＭＳ Ｐゴシック"/>
            <family val="3"/>
            <charset val="128"/>
          </rPr>
          <t xml:space="preserve">
2015夏に
bl1-3-3 から
bl1-3-2-2 に
名称変更予定</t>
        </r>
      </text>
    </comment>
    <comment ref="B42" authorId="0" shapeId="0" xr:uid="{00000000-0006-0000-0D00-000004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B43" authorId="0" shapeId="0" xr:uid="{00000000-0006-0000-0D00-000005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B44" authorId="0" shapeId="0" xr:uid="{00000000-0006-0000-0D00-000006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B51" authorId="0" shapeId="0" xr:uid="{00000000-0006-0000-0D00-000007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B52" authorId="0" shapeId="0" xr:uid="{00000000-0006-0000-0D00-000008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B53" authorId="0" shapeId="0" xr:uid="{00000000-0006-0000-0D00-000009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 ref="B62" authorId="0" shapeId="0" xr:uid="{00000000-0006-0000-0D00-00000A000000}">
      <text>
        <r>
          <rPr>
            <b/>
            <sz val="9"/>
            <color indexed="81"/>
            <rFont val="ＭＳ Ｐゴシック"/>
            <family val="3"/>
            <charset val="128"/>
          </rPr>
          <t>admini:</t>
        </r>
        <r>
          <rPr>
            <sz val="9"/>
            <color indexed="81"/>
            <rFont val="ＭＳ Ｐゴシック"/>
            <family val="3"/>
            <charset val="128"/>
          </rPr>
          <t xml:space="preserve">
2014~2015の冬停止に名称変更</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admini</author>
  </authors>
  <commentList>
    <comment ref="C1" authorId="0" shapeId="0" xr:uid="{00000000-0006-0000-0E00-000001000000}">
      <text>
        <r>
          <rPr>
            <b/>
            <sz val="9"/>
            <color indexed="81"/>
            <rFont val="ＭＳ Ｐゴシック"/>
            <family val="3"/>
            <charset val="128"/>
          </rPr>
          <t>新設or繋替えの部分だけでよい</t>
        </r>
      </text>
    </comment>
    <comment ref="X1" authorId="0" shapeId="0" xr:uid="{00000000-0006-0000-0E00-000002000000}">
      <text>
        <r>
          <rPr>
            <b/>
            <sz val="9"/>
            <color indexed="81"/>
            <rFont val="ＭＳ Ｐゴシック"/>
            <family val="3"/>
            <charset val="128"/>
          </rPr>
          <t>admini:</t>
        </r>
        <r>
          <rPr>
            <sz val="9"/>
            <color indexed="81"/>
            <rFont val="ＭＳ Ｐゴシック"/>
            <family val="3"/>
            <charset val="128"/>
          </rPr>
          <t xml:space="preserve">
BL3ピント調整前の点検</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saclalog1</author>
  </authors>
  <commentList>
    <comment ref="B1" authorId="0" shapeId="0" xr:uid="{00000000-0006-0000-0F00-000001000000}">
      <text>
        <r>
          <rPr>
            <b/>
            <sz val="9"/>
            <color indexed="81"/>
            <rFont val="MS P ゴシック"/>
            <family val="3"/>
            <charset val="128"/>
          </rPr>
          <t>電源の切入に使用
SvocList.srmon-ssbt1-03.ods のO</t>
        </r>
      </text>
    </comment>
  </commentList>
</comments>
</file>

<file path=xl/sharedStrings.xml><?xml version="1.0" encoding="utf-8"?>
<sst xmlns="http://schemas.openxmlformats.org/spreadsheetml/2006/main" count="3769" uniqueCount="1394">
  <si>
    <t>Status</t>
  </si>
  <si>
    <t>Name</t>
  </si>
  <si>
    <t>PLC</t>
  </si>
  <si>
    <t>SCM:Insert1</t>
  </si>
  <si>
    <t>SCM:insert2</t>
  </si>
  <si>
    <t>SCM:which</t>
  </si>
  <si>
    <t>CCD_type</t>
  </si>
  <si>
    <t>pixSize</t>
  </si>
  <si>
    <t>C_x</t>
  </si>
  <si>
    <t>C_y</t>
  </si>
  <si>
    <t>LRflip</t>
  </si>
  <si>
    <t>UDflip</t>
  </si>
  <si>
    <t>pixSize2</t>
  </si>
  <si>
    <t>C_x2</t>
  </si>
  <si>
    <t>C_y2</t>
  </si>
  <si>
    <t>pixSize3</t>
  </si>
  <si>
    <t>C_x3</t>
  </si>
  <si>
    <t>C_y3</t>
  </si>
  <si>
    <t>pixSize4</t>
  </si>
  <si>
    <t>C_x4</t>
  </si>
  <si>
    <t>C_y4</t>
  </si>
  <si>
    <t>flag_ctr_reflector</t>
  </si>
  <si>
    <t>flag_3state</t>
  </si>
  <si>
    <t>flag_streak</t>
  </si>
  <si>
    <t>flag_motor</t>
  </si>
  <si>
    <t>flag_dump</t>
  </si>
  <si>
    <t>Enable</t>
  </si>
  <si>
    <t>scm_inj_238_1</t>
  </si>
  <si>
    <t>xfel_mon_plc_inj</t>
  </si>
  <si>
    <t>Desmarquest</t>
  </si>
  <si>
    <t>CV-A10CL</t>
  </si>
  <si>
    <t>scm_inj_476_1</t>
  </si>
  <si>
    <t>scm_inj_lb_1</t>
  </si>
  <si>
    <t>scm_inj_lb_2</t>
  </si>
  <si>
    <t>OTR</t>
  </si>
  <si>
    <t>scm_bc1_1</t>
  </si>
  <si>
    <t>xfel_mon_plc_bc1</t>
  </si>
  <si>
    <t>scm_bc1_2</t>
  </si>
  <si>
    <t>CV-M4+CL</t>
  </si>
  <si>
    <t>scm_bc1_4</t>
  </si>
  <si>
    <t>From BC3-4</t>
  </si>
  <si>
    <t>scm_sb_1</t>
  </si>
  <si>
    <t>xfel_mon_plc_sb_1</t>
  </si>
  <si>
    <t>scm_sb_2</t>
  </si>
  <si>
    <t>xfel_mon_plc_sb_2</t>
  </si>
  <si>
    <t>scm_bc2_1</t>
  </si>
  <si>
    <t>xfel_mon_plc_bc2</t>
  </si>
  <si>
    <t>scm_bc2_2</t>
  </si>
  <si>
    <t>scm_bc2_4</t>
  </si>
  <si>
    <t>scm_cb01</t>
  </si>
  <si>
    <t>xfel_mon_plc_cb01</t>
  </si>
  <si>
    <t>scm_bc3_1</t>
  </si>
  <si>
    <t>xfel_mon_plc_bc3</t>
  </si>
  <si>
    <t>scm_bc3_2</t>
  </si>
  <si>
    <t>scm_bc3_4</t>
  </si>
  <si>
    <t>scm_rfdef</t>
  </si>
  <si>
    <t>xfel_mon_plc_rfdef</t>
  </si>
  <si>
    <t>Center is tentative</t>
  </si>
  <si>
    <t>scm_rfdef_2</t>
  </si>
  <si>
    <t>From BL3-0-3</t>
  </si>
  <si>
    <t>scm_cb05</t>
  </si>
  <si>
    <t>xfel_mon_plc_cb05</t>
  </si>
  <si>
    <t>scm_cb07</t>
  </si>
  <si>
    <t>xfel_mon_plc_cb07</t>
  </si>
  <si>
    <t>Disable</t>
  </si>
  <si>
    <t>scm_efch</t>
  </si>
  <si>
    <t>Remove</t>
  </si>
  <si>
    <t>scm_cb09</t>
  </si>
  <si>
    <t>xfel_mon_plc_cb09</t>
  </si>
  <si>
    <t>scm_cb11</t>
  </si>
  <si>
    <t>xfel_mon_plc_cb11</t>
  </si>
  <si>
    <t>scm_cb13</t>
  </si>
  <si>
    <t>xfel_mon_plc_cb13</t>
  </si>
  <si>
    <t>scm_cb15</t>
  </si>
  <si>
    <t>xfel_mon_plc_cb15</t>
  </si>
  <si>
    <t>scm_cb17</t>
  </si>
  <si>
    <t>xfel_mon_plc_cb17</t>
  </si>
  <si>
    <t>Target</t>
  </si>
  <si>
    <t>scm_bta_1_1</t>
  </si>
  <si>
    <t>scm_bta_1_2</t>
  </si>
  <si>
    <t>scm_bta_2_1</t>
  </si>
  <si>
    <t>xfel_mon_plc_bta_2</t>
  </si>
  <si>
    <t>scm_bta_2_2</t>
  </si>
  <si>
    <t>scm_bta_2_3</t>
  </si>
  <si>
    <t>scm_bl1_0_1</t>
  </si>
  <si>
    <t>xfel_mon_plc_bl1_1</t>
  </si>
  <si>
    <t>scm_bl1_predump_2</t>
  </si>
  <si>
    <t>scm_bl1_dump_1</t>
  </si>
  <si>
    <t>scm_bl3_0_1</t>
  </si>
  <si>
    <t>xfel_mon_plc_bl3_0</t>
  </si>
  <si>
    <t>scm_bl3_0_2</t>
  </si>
  <si>
    <t>scm_bl3_0_3</t>
  </si>
  <si>
    <t>From MS</t>
  </si>
  <si>
    <t>xfel_mon_plc_bl3_1</t>
  </si>
  <si>
    <t>xfel_mon_plc_bl3_2</t>
  </si>
  <si>
    <t>scm_bl3_ssch</t>
  </si>
  <si>
    <t>xfel_mon_plc_bl3_ssch</t>
  </si>
  <si>
    <t>xfel_mon_plc_bl3_3</t>
  </si>
  <si>
    <t>xfel_mon_plc_bl3_4</t>
  </si>
  <si>
    <t>scm_bl3_dump_1</t>
  </si>
  <si>
    <t>xfel_mon_plc_bl3_dump</t>
  </si>
  <si>
    <t>scm_bl3_dump_2</t>
  </si>
  <si>
    <t>xfel_mon_scm_xsbt</t>
  </si>
  <si>
    <t>test-cva10cl</t>
  </si>
  <si>
    <t>test-cvm4+cl</t>
  </si>
  <si>
    <t>cname</t>
    <phoneticPr fontId="4"/>
  </si>
  <si>
    <t>scm_xsbt_3</t>
  </si>
  <si>
    <t>scm_xsbt_4</t>
  </si>
  <si>
    <t>scm_xsbt_5</t>
  </si>
  <si>
    <t>scm_xsbt_6</t>
  </si>
  <si>
    <t>scm_xsbt_7</t>
  </si>
  <si>
    <t>scm_xsbt_8</t>
  </si>
  <si>
    <t>scm_xsbt_9</t>
  </si>
  <si>
    <t>scm_xsbt_10</t>
  </si>
  <si>
    <t>scm_xsbt_11</t>
  </si>
  <si>
    <t>scm_xsbt_12</t>
  </si>
  <si>
    <t>scm_xsbt_13</t>
  </si>
  <si>
    <t>scm_xsbt_14</t>
  </si>
  <si>
    <t>scm_xsbt_15</t>
  </si>
  <si>
    <t>scm_xsbt_16</t>
  </si>
  <si>
    <t>scm_xsbt_17</t>
  </si>
  <si>
    <t>scm_xsbt_18</t>
  </si>
  <si>
    <t>scm_xsbt_19</t>
  </si>
  <si>
    <t>CV-M3+CL</t>
  </si>
  <si>
    <t>Comment</t>
    <phoneticPr fontId="4"/>
  </si>
  <si>
    <t>From BC1-4 CCD Type is not yet determined.</t>
    <phoneticPr fontId="4"/>
  </si>
  <si>
    <t>Disable</t>
    <phoneticPr fontId="4"/>
  </si>
  <si>
    <t>CCD</t>
    <phoneticPr fontId="4"/>
  </si>
  <si>
    <t>LENS</t>
    <phoneticPr fontId="4"/>
  </si>
  <si>
    <t>xfel_mon_plc_rfdef</t>
    <phoneticPr fontId="4"/>
  </si>
  <si>
    <t>MEMO</t>
    <phoneticPr fontId="4"/>
  </si>
  <si>
    <t>flag_ctr_reflector</t>
    <phoneticPr fontId="4"/>
  </si>
  <si>
    <t>flag_stage</t>
    <phoneticPr fontId="4"/>
  </si>
  <si>
    <t>flag_ccd</t>
    <phoneticPr fontId="4"/>
  </si>
  <si>
    <t>flag_lens</t>
    <phoneticPr fontId="4"/>
  </si>
  <si>
    <t>xq-bl3-tc-cam02</t>
    <phoneticPr fontId="4"/>
  </si>
  <si>
    <t>xq-bl3-tc-cam01</t>
    <phoneticPr fontId="4"/>
  </si>
  <si>
    <t>xq-bl3-tc-cam03</t>
    <phoneticPr fontId="4"/>
  </si>
  <si>
    <t>cam01</t>
    <phoneticPr fontId="4"/>
  </si>
  <si>
    <t>cam02</t>
    <phoneticPr fontId="4"/>
  </si>
  <si>
    <t>cam03</t>
    <phoneticPr fontId="4"/>
  </si>
  <si>
    <t>OTR</t>
    <phoneticPr fontId="4"/>
  </si>
  <si>
    <t>xq-bl3-ssch-cam01</t>
    <phoneticPr fontId="4"/>
  </si>
  <si>
    <t>ssch-cam01</t>
  </si>
  <si>
    <t>scm_bc2_3</t>
    <phoneticPr fontId="4"/>
  </si>
  <si>
    <t>Streak</t>
    <phoneticPr fontId="4"/>
  </si>
  <si>
    <t>scm_scssp</t>
    <phoneticPr fontId="4"/>
  </si>
  <si>
    <t>FESCA-1</t>
  </si>
  <si>
    <t>FESCA-2</t>
    <phoneticPr fontId="4"/>
  </si>
  <si>
    <t>flag_iris</t>
    <phoneticPr fontId="4"/>
  </si>
  <si>
    <t>tes2</t>
  </si>
  <si>
    <t>tes3</t>
  </si>
  <si>
    <t>tes4</t>
  </si>
  <si>
    <t>tes5</t>
  </si>
  <si>
    <t>tes6</t>
  </si>
  <si>
    <t>tes7</t>
  </si>
  <si>
    <t>tes8</t>
  </si>
  <si>
    <t>tes9</t>
  </si>
  <si>
    <t>tes10</t>
  </si>
  <si>
    <t>flag_led</t>
    <phoneticPr fontId="4"/>
  </si>
  <si>
    <t>flag_led_intensity</t>
    <phoneticPr fontId="4"/>
  </si>
  <si>
    <t>define.hで定義</t>
    <rPh sb="9" eb="11">
      <t>テイギ</t>
    </rPh>
    <phoneticPr fontId="4"/>
  </si>
  <si>
    <t>scm_ms_1</t>
    <phoneticPr fontId="4"/>
  </si>
  <si>
    <t>scm_bl3_1</t>
    <phoneticPr fontId="4"/>
  </si>
  <si>
    <t>scm_bl3_2</t>
    <phoneticPr fontId="4"/>
  </si>
  <si>
    <t>scm_bl3_3</t>
    <phoneticPr fontId="4"/>
  </si>
  <si>
    <t>scm_bl3_4</t>
    <phoneticPr fontId="4"/>
  </si>
  <si>
    <t>OTR</t>
    <phoneticPr fontId="4"/>
  </si>
  <si>
    <t>YAG</t>
    <phoneticPr fontId="4"/>
  </si>
  <si>
    <t>CV-M4+CL</t>
    <phoneticPr fontId="4"/>
  </si>
  <si>
    <t>Disable</t>
    <phoneticPr fontId="4"/>
  </si>
  <si>
    <t>test-cva10cl</t>
    <phoneticPr fontId="4"/>
  </si>
  <si>
    <t>test-cvm4+cl</t>
    <phoneticPr fontId="4"/>
  </si>
  <si>
    <t>BL3 IDピント調整</t>
    <rPh sb="9" eb="11">
      <t>チョウセイ</t>
    </rPh>
    <phoneticPr fontId="4"/>
  </si>
  <si>
    <t>xfel_mon_fesca_2</t>
    <phoneticPr fontId="4"/>
  </si>
  <si>
    <t>cam_name</t>
    <phoneticPr fontId="4"/>
  </si>
  <si>
    <t>scm_bl2_0_1</t>
  </si>
  <si>
    <t>scm_bta_1_3</t>
  </si>
  <si>
    <t>scm-inj-476-1</t>
  </si>
  <si>
    <t>scm-inj-lb-1</t>
  </si>
  <si>
    <t>scm-inj-lb-2</t>
  </si>
  <si>
    <t>scm-bc1-1</t>
  </si>
  <si>
    <t>scm-bc1-2</t>
  </si>
  <si>
    <t>scm-bc1-4</t>
  </si>
  <si>
    <t>scm-sb-1</t>
  </si>
  <si>
    <t>scm-sb-2</t>
  </si>
  <si>
    <t>scm-bc2-1</t>
  </si>
  <si>
    <t>scm-bc2-2</t>
  </si>
  <si>
    <t>scm-bc2-4</t>
  </si>
  <si>
    <t>scm-cb01</t>
  </si>
  <si>
    <t>scm-bc3-1</t>
  </si>
  <si>
    <t>scm-bc3-4</t>
  </si>
  <si>
    <t>scm-rfdef-2</t>
  </si>
  <si>
    <t>scm-cb05</t>
  </si>
  <si>
    <t>scm-cb07</t>
  </si>
  <si>
    <t>scm-efch</t>
  </si>
  <si>
    <t>scm-cb09</t>
  </si>
  <si>
    <t>scm-cb11</t>
  </si>
  <si>
    <t>scm-cb13</t>
  </si>
  <si>
    <t>scm-cb15</t>
  </si>
  <si>
    <t>scm-cb17</t>
  </si>
  <si>
    <t>scm-ms-1</t>
  </si>
  <si>
    <t>scm-bta-1-1</t>
  </si>
  <si>
    <t>scm-bta-1-2</t>
  </si>
  <si>
    <t>scm-bta-1-3</t>
  </si>
  <si>
    <t>scm-bta-2-1</t>
  </si>
  <si>
    <t>scm-bta-2-2</t>
  </si>
  <si>
    <t>scm-bta-2-3</t>
  </si>
  <si>
    <t>scm-bl1-0-1</t>
  </si>
  <si>
    <t>scm-bl1-predump-2</t>
  </si>
  <si>
    <t>scm-bl2-0-1</t>
  </si>
  <si>
    <t>scm-bl3-0-1</t>
  </si>
  <si>
    <t>scm-bl3-0-2</t>
  </si>
  <si>
    <t>scm-bl3-0-3</t>
  </si>
  <si>
    <t>scm-bl3-1</t>
  </si>
  <si>
    <t>scm-bl3-2</t>
  </si>
  <si>
    <t>scm-bl3-ssch</t>
  </si>
  <si>
    <t>scm-bl3-3</t>
  </si>
  <si>
    <t>scm-bl3-4</t>
  </si>
  <si>
    <t>scm-bl3-dump-1</t>
  </si>
  <si>
    <t>scm-bl3-dump-2</t>
  </si>
  <si>
    <t>scm-xsbt-10</t>
  </si>
  <si>
    <t>scm-xsbt-11</t>
  </si>
  <si>
    <t>scm-xsbt-12</t>
  </si>
  <si>
    <t>scm-xsbt-13</t>
  </si>
  <si>
    <t>scm-xsbt-14</t>
  </si>
  <si>
    <t>scm-xsbt-15</t>
  </si>
  <si>
    <t>scm-xsbt-16</t>
  </si>
  <si>
    <t>scm-xsbt-17</t>
  </si>
  <si>
    <t>scm-xsbt-18</t>
  </si>
  <si>
    <t>scm-xsbt-19</t>
  </si>
  <si>
    <t>YAG</t>
    <phoneticPr fontId="4"/>
  </si>
  <si>
    <t>Move to bta2-2 2014夏</t>
    <rPh sb="19" eb="20">
      <t>ナツ</t>
    </rPh>
    <phoneticPr fontId="4"/>
  </si>
  <si>
    <t>flag_new_paragraph</t>
  </si>
  <si>
    <t>scm_bl1_preid_1</t>
    <phoneticPr fontId="4"/>
  </si>
  <si>
    <t>scm_bl1_preid_2</t>
    <phoneticPr fontId="4"/>
  </si>
  <si>
    <t>scm-bl1-preid-1</t>
    <phoneticPr fontId="4"/>
  </si>
  <si>
    <t>scm-bl1-preid-2</t>
    <phoneticPr fontId="4"/>
  </si>
  <si>
    <t>SCM-BL1-0-1</t>
    <phoneticPr fontId="4"/>
  </si>
  <si>
    <t>SCM-BL1-X-1</t>
    <phoneticPr fontId="4"/>
  </si>
  <si>
    <t>SCM-BL1-</t>
    <phoneticPr fontId="4"/>
  </si>
  <si>
    <t>SCM-BL1-3-1-1</t>
    <phoneticPr fontId="4"/>
  </si>
  <si>
    <t>SCM-BL1-3-2-1</t>
    <phoneticPr fontId="4"/>
  </si>
  <si>
    <t>SCM-BL1-3-2-2</t>
    <phoneticPr fontId="4"/>
  </si>
  <si>
    <t>SCM-BL2-1-2-1</t>
    <phoneticPr fontId="4"/>
  </si>
  <si>
    <t>SCM-BL2-2-2-1</t>
    <phoneticPr fontId="4"/>
  </si>
  <si>
    <t>SCM-BL2-3-2-1</t>
    <phoneticPr fontId="4"/>
  </si>
  <si>
    <t>SCM-BL2-4-2-1</t>
    <phoneticPr fontId="4"/>
  </si>
  <si>
    <t>SCM-BL3-1-2-1</t>
    <phoneticPr fontId="4"/>
  </si>
  <si>
    <t>SCM-BL3-2-2-1</t>
    <phoneticPr fontId="4"/>
  </si>
  <si>
    <t>SCM-BL3-3-2-1</t>
    <phoneticPr fontId="4"/>
  </si>
  <si>
    <t>SCM-BL3-4-2-1</t>
    <phoneticPr fontId="4"/>
  </si>
  <si>
    <t>SCM-BL3-6-2-1</t>
    <phoneticPr fontId="4"/>
  </si>
  <si>
    <t xml:space="preserve">旧名称　SCM-BL3-PRDP-1 </t>
    <rPh sb="0" eb="3">
      <t>キュウメイショウ</t>
    </rPh>
    <phoneticPr fontId="4"/>
  </si>
  <si>
    <t>2014夏CCDステージ追加,　2014夏調べたら3段式だった</t>
    <rPh sb="4" eb="5">
      <t>ナツ</t>
    </rPh>
    <rPh sb="12" eb="14">
      <t>ツイカ</t>
    </rPh>
    <rPh sb="20" eb="21">
      <t>ナツ</t>
    </rPh>
    <rPh sb="21" eb="22">
      <t>シラ</t>
    </rPh>
    <rPh sb="26" eb="27">
      <t>ダン</t>
    </rPh>
    <rPh sb="27" eb="28">
      <t>シキ</t>
    </rPh>
    <phoneticPr fontId="4"/>
  </si>
  <si>
    <t>Target</t>
    <phoneticPr fontId="4"/>
  </si>
  <si>
    <t>YAG 化の予定</t>
    <rPh sb="4" eb="5">
      <t>カ</t>
    </rPh>
    <rPh sb="6" eb="8">
      <t>ヨテイ</t>
    </rPh>
    <phoneticPr fontId="4"/>
  </si>
  <si>
    <t>旧scm_bl1_predump_1, 2014/8/4名前変更 旧bl1-0-2, YAG 化の予定</t>
    <rPh sb="0" eb="1">
      <t>キュウ</t>
    </rPh>
    <rPh sb="28" eb="30">
      <t>ナマエ</t>
    </rPh>
    <rPh sb="30" eb="32">
      <t>ヘンコウ</t>
    </rPh>
    <rPh sb="33" eb="34">
      <t>キュウ</t>
    </rPh>
    <phoneticPr fontId="4"/>
  </si>
  <si>
    <t>2014/8/4名前変更 旧bl1-0-3, YAG 化の予定</t>
    <phoneticPr fontId="4"/>
  </si>
  <si>
    <t>OTR</t>
    <phoneticPr fontId="4"/>
  </si>
  <si>
    <t>YAG+Hole</t>
    <phoneticPr fontId="4"/>
  </si>
  <si>
    <t>scm_xsbt_1</t>
  </si>
  <si>
    <t>scm_xsbt_2</t>
  </si>
  <si>
    <t>scm-xsbt-1</t>
    <phoneticPr fontId="4"/>
  </si>
  <si>
    <t>scm-xsbt-2</t>
  </si>
  <si>
    <t>scm-xsbt-3</t>
  </si>
  <si>
    <t>scm-xsbt-4</t>
  </si>
  <si>
    <t>scm-xsbt-5</t>
  </si>
  <si>
    <t>scm-xsbt-6</t>
  </si>
  <si>
    <t>scm-xsbt-7</t>
  </si>
  <si>
    <t>scm-xsbt-8</t>
  </si>
  <si>
    <t>scm-xsbt-9</t>
  </si>
  <si>
    <t>scm_bl2_1</t>
    <phoneticPr fontId="4"/>
  </si>
  <si>
    <t>scm_bl2_2</t>
    <phoneticPr fontId="4"/>
  </si>
  <si>
    <t>scm_bl2_3</t>
    <phoneticPr fontId="4"/>
  </si>
  <si>
    <t>scm_bl2_4</t>
    <phoneticPr fontId="4"/>
  </si>
  <si>
    <t>xfel_mon_plc_bl2_0</t>
    <phoneticPr fontId="4"/>
  </si>
  <si>
    <t>xfel_mon_plc_bl2_1</t>
    <phoneticPr fontId="4"/>
  </si>
  <si>
    <t>xfel_mon_plc_bl2_2</t>
    <phoneticPr fontId="4"/>
  </si>
  <si>
    <t>xfel_mon_plc_bl2_3</t>
    <phoneticPr fontId="4"/>
  </si>
  <si>
    <t>xfel_mon_plc_bl2_4</t>
    <phoneticPr fontId="4"/>
  </si>
  <si>
    <t>xfel_mon_plc_bl2_5</t>
    <phoneticPr fontId="4"/>
  </si>
  <si>
    <t>xfel_mon_plc_bl1_3</t>
    <phoneticPr fontId="4"/>
  </si>
  <si>
    <t>xfel_mon_plc_bl1_dump</t>
    <phoneticPr fontId="4"/>
  </si>
  <si>
    <t>xfel_mon_plc_bta_1</t>
    <phoneticPr fontId="4"/>
  </si>
  <si>
    <t>xfel_mon_plc_xsbt_x</t>
    <phoneticPr fontId="4"/>
  </si>
  <si>
    <t>20141010松原氏よりSize,C_xyを反映</t>
    <phoneticPr fontId="4"/>
  </si>
  <si>
    <t>scm-bl1-dump-1</t>
    <phoneticPr fontId="4"/>
  </si>
  <si>
    <t>scm-bl1-dump-2</t>
    <phoneticPr fontId="4"/>
  </si>
  <si>
    <t>scm-bl2-dump-1</t>
    <phoneticPr fontId="4"/>
  </si>
  <si>
    <t>scm-bl2-dump-2</t>
    <phoneticPr fontId="4"/>
  </si>
  <si>
    <t>scm_bl1_predump_1</t>
    <phoneticPr fontId="4"/>
  </si>
  <si>
    <t>scm_bl1_dump_2</t>
    <phoneticPr fontId="4"/>
  </si>
  <si>
    <t>scm_bl2_predump_1</t>
    <phoneticPr fontId="4"/>
  </si>
  <si>
    <t>scm_bl2_dump_1</t>
    <phoneticPr fontId="4"/>
  </si>
  <si>
    <t>scm_bl2_dump_2</t>
    <phoneticPr fontId="4"/>
  </si>
  <si>
    <t>scm-bl1-predump-1</t>
  </si>
  <si>
    <t>scm-bl2-predump-1</t>
  </si>
  <si>
    <t>scm-bl3-6</t>
    <phoneticPr fontId="4"/>
  </si>
  <si>
    <t>scm-bl2-1</t>
    <phoneticPr fontId="4"/>
  </si>
  <si>
    <t>scm-bl2-2</t>
    <phoneticPr fontId="4"/>
  </si>
  <si>
    <t>scm-bl2-3</t>
    <phoneticPr fontId="4"/>
  </si>
  <si>
    <t>scm-bl2-4</t>
    <phoneticPr fontId="4"/>
  </si>
  <si>
    <t>scm_s_bc1_1</t>
  </si>
  <si>
    <t>scm_s_bc1_2</t>
  </si>
  <si>
    <t>scm_s_bc1_4</t>
  </si>
  <si>
    <t>scm_s_cb1_1</t>
  </si>
  <si>
    <t>scm_s_bc2_1</t>
  </si>
  <si>
    <t>scm_s_bc2_2</t>
  </si>
  <si>
    <t>scm_s_bc2_4</t>
  </si>
  <si>
    <t>scm_s_cb2_1</t>
  </si>
  <si>
    <t>scm-s-inj-476-1</t>
  </si>
  <si>
    <t>scm-s-inj-sb-1</t>
  </si>
  <si>
    <t>scm-s-inj-sb-2</t>
  </si>
  <si>
    <t>scm-s-bc1-1</t>
  </si>
  <si>
    <t>scm-s-cb1-1</t>
  </si>
  <si>
    <t>scm-s-bc2-1</t>
  </si>
  <si>
    <t>scm-s-bc2-2</t>
  </si>
  <si>
    <t>scm-s-bc2-4</t>
  </si>
  <si>
    <t>scm-s-cb2-1</t>
  </si>
  <si>
    <t>scm_s_cb3_1</t>
    <phoneticPr fontId="4"/>
  </si>
  <si>
    <t>scm-s-cb3-1</t>
    <phoneticPr fontId="4"/>
  </si>
  <si>
    <t>scss_mon_plc_inj</t>
  </si>
  <si>
    <t>scss_mon_plc_bc1</t>
  </si>
  <si>
    <t>scss_mon_plc_bc2</t>
  </si>
  <si>
    <t>scss_mon_plc_cb1</t>
  </si>
  <si>
    <t>scss_mon_plc_cb3</t>
  </si>
  <si>
    <t>Comment</t>
  </si>
  <si>
    <t>flag_stage</t>
  </si>
  <si>
    <t>flag_ccd</t>
  </si>
  <si>
    <t>flag_lens</t>
  </si>
  <si>
    <t>flag_led</t>
  </si>
  <si>
    <t>flag_led_intensity</t>
  </si>
  <si>
    <t>flag_iris</t>
  </si>
  <si>
    <t>flag_scm_stage</t>
  </si>
  <si>
    <t>pixSize_x</t>
    <phoneticPr fontId="4"/>
  </si>
  <si>
    <t>pixSize_y</t>
    <phoneticPr fontId="4"/>
  </si>
  <si>
    <t>status</t>
    <phoneticPr fontId="4"/>
  </si>
  <si>
    <t>name</t>
    <phoneticPr fontId="4"/>
  </si>
  <si>
    <t>disuse0</t>
    <phoneticPr fontId="4"/>
  </si>
  <si>
    <t>disuse2</t>
    <phoneticPr fontId="4"/>
  </si>
  <si>
    <t>disuse3</t>
    <phoneticPr fontId="4"/>
  </si>
  <si>
    <t>disuse4</t>
    <phoneticPr fontId="4"/>
  </si>
  <si>
    <t>disuse5</t>
    <phoneticPr fontId="4"/>
  </si>
  <si>
    <t>disuse6</t>
    <phoneticPr fontId="4"/>
  </si>
  <si>
    <t>disuse7</t>
    <phoneticPr fontId="4"/>
  </si>
  <si>
    <t>disuse8</t>
    <phoneticPr fontId="4"/>
  </si>
  <si>
    <t>ccd1</t>
    <phoneticPr fontId="4"/>
  </si>
  <si>
    <t>lens1</t>
    <phoneticPr fontId="4"/>
  </si>
  <si>
    <t>notuse</t>
    <phoneticPr fontId="4"/>
  </si>
  <si>
    <t>height1</t>
    <phoneticPr fontId="4"/>
  </si>
  <si>
    <t>plc</t>
  </si>
  <si>
    <t>plc</t>
    <phoneticPr fontId="4"/>
  </si>
  <si>
    <t>insert1</t>
  </si>
  <si>
    <t>insert1</t>
    <phoneticPr fontId="4"/>
  </si>
  <si>
    <t>insert2</t>
  </si>
  <si>
    <t>insert2</t>
    <phoneticPr fontId="4"/>
  </si>
  <si>
    <t>which</t>
  </si>
  <si>
    <t>which</t>
    <phoneticPr fontId="4"/>
  </si>
  <si>
    <t>status</t>
  </si>
  <si>
    <t>name</t>
  </si>
  <si>
    <t>cname</t>
  </si>
  <si>
    <t>disuse0</t>
  </si>
  <si>
    <t>pixSize_x</t>
  </si>
  <si>
    <t>pixSize_y</t>
  </si>
  <si>
    <t>disuse1</t>
  </si>
  <si>
    <t>disuse2</t>
  </si>
  <si>
    <t>disuse3</t>
  </si>
  <si>
    <t>disuse4</t>
  </si>
  <si>
    <t>disuse5</t>
  </si>
  <si>
    <t>disuse6</t>
  </si>
  <si>
    <t>disuse7</t>
  </si>
  <si>
    <t>disuse8</t>
  </si>
  <si>
    <t>ccd1</t>
  </si>
  <si>
    <t>lens1</t>
  </si>
  <si>
    <t>height1</t>
  </si>
  <si>
    <t>notuse</t>
  </si>
  <si>
    <t>disuse9</t>
    <phoneticPr fontId="4"/>
  </si>
  <si>
    <t>scm_s_inj_238_1</t>
    <phoneticPr fontId="4"/>
  </si>
  <si>
    <t>scm_s_inj_476_1</t>
    <phoneticPr fontId="4"/>
  </si>
  <si>
    <t>scm_s_inj_sb_1</t>
    <phoneticPr fontId="4"/>
  </si>
  <si>
    <t>msize</t>
    <phoneticPr fontId="4"/>
  </si>
  <si>
    <t>scm_bl3_6</t>
    <phoneticPr fontId="4"/>
  </si>
  <si>
    <t>scm_bl1_3_2_1</t>
    <phoneticPr fontId="4"/>
  </si>
  <si>
    <t>scm_bl1_3_2_2</t>
    <phoneticPr fontId="4"/>
  </si>
  <si>
    <t>scm_bl1_3_1_1</t>
    <phoneticPr fontId="4"/>
  </si>
  <si>
    <t>scm-bl1-3-1-1</t>
    <phoneticPr fontId="4"/>
  </si>
  <si>
    <t>scm-bl1-3-2-1</t>
    <phoneticPr fontId="4"/>
  </si>
  <si>
    <t>scm-bl1-3-2-2</t>
    <phoneticPr fontId="4"/>
  </si>
  <si>
    <t>flag_stage_height</t>
    <phoneticPr fontId="4"/>
  </si>
  <si>
    <t>notuse</t>
    <phoneticPr fontId="4"/>
  </si>
  <si>
    <t>flag_stage_ccd</t>
    <phoneticPr fontId="4"/>
  </si>
  <si>
    <t>flag_stage_lens</t>
    <phoneticPr fontId="4"/>
  </si>
  <si>
    <t>2015夏　SCSS+ BC2_2でA10のカメラを使いたかったため取外し</t>
    <rPh sb="4" eb="5">
      <t>ナツ</t>
    </rPh>
    <phoneticPr fontId="4"/>
  </si>
  <si>
    <t>豊山　穴ありミラー</t>
    <rPh sb="0" eb="2">
      <t>トヨヤマ</t>
    </rPh>
    <rPh sb="3" eb="4">
      <t>アナ</t>
    </rPh>
    <phoneticPr fontId="4"/>
  </si>
  <si>
    <t>明昌　穴なしミラー</t>
    <rPh sb="0" eb="2">
      <t>メイショウ</t>
    </rPh>
    <phoneticPr fontId="4"/>
  </si>
  <si>
    <t>切替機のルート、
ランプ点灯</t>
    <rPh sb="0" eb="3">
      <t>キリカエキ</t>
    </rPh>
    <rPh sb="12" eb="14">
      <t>テントウ</t>
    </rPh>
    <phoneticPr fontId="4"/>
  </si>
  <si>
    <t>カメラ切替え</t>
    <rPh sb="3" eb="5">
      <t>キリカ</t>
    </rPh>
    <phoneticPr fontId="4"/>
  </si>
  <si>
    <t>PLC経由
のコマンド</t>
    <rPh sb="3" eb="5">
      <t>ケイユ</t>
    </rPh>
    <phoneticPr fontId="4"/>
  </si>
  <si>
    <t>ステージ動作</t>
    <rPh sb="4" eb="6">
      <t>ドウサ</t>
    </rPh>
    <phoneticPr fontId="4"/>
  </si>
  <si>
    <t>画像収集</t>
    <rPh sb="0" eb="2">
      <t>ガゾウ</t>
    </rPh>
    <rPh sb="2" eb="4">
      <t>シュウシュウ</t>
    </rPh>
    <phoneticPr fontId="4"/>
  </si>
  <si>
    <t xml:space="preserve">2015/5/21
</t>
    <phoneticPr fontId="4"/>
  </si>
  <si>
    <t>2015/5/1
停止明け</t>
    <rPh sb="9" eb="11">
      <t>テイシ</t>
    </rPh>
    <rPh sb="11" eb="12">
      <t>ア</t>
    </rPh>
    <phoneticPr fontId="4"/>
  </si>
  <si>
    <t>2015/1/7
停止明け</t>
    <rPh sb="9" eb="11">
      <t>テイシ</t>
    </rPh>
    <rPh sb="11" eb="12">
      <t>ア</t>
    </rPh>
    <phoneticPr fontId="4"/>
  </si>
  <si>
    <t>2014/11/17
画像に縞模様
リブート</t>
    <rPh sb="11" eb="13">
      <t>ガゾウ</t>
    </rPh>
    <rPh sb="14" eb="17">
      <t>シマモヨウ</t>
    </rPh>
    <phoneticPr fontId="4"/>
  </si>
  <si>
    <t>2014/11/16
画像に縞模様
リブート</t>
    <rPh sb="11" eb="13">
      <t>ガゾウ</t>
    </rPh>
    <rPh sb="14" eb="17">
      <t>シマモヨウ</t>
    </rPh>
    <phoneticPr fontId="4"/>
  </si>
  <si>
    <t>2014/9/9
停止明け</t>
    <rPh sb="9" eb="11">
      <t>テイシ</t>
    </rPh>
    <rPh sb="11" eb="12">
      <t>ア</t>
    </rPh>
    <phoneticPr fontId="4"/>
  </si>
  <si>
    <t>2014/5/2
停止明け
※コメント有、一番下</t>
    <rPh sb="9" eb="11">
      <t>テイシ</t>
    </rPh>
    <rPh sb="11" eb="12">
      <t>ア</t>
    </rPh>
    <rPh sb="19" eb="20">
      <t>ア</t>
    </rPh>
    <rPh sb="21" eb="24">
      <t>イチバンシタ</t>
    </rPh>
    <phoneticPr fontId="4"/>
  </si>
  <si>
    <t>2014/3/28
停止明け</t>
    <rPh sb="10" eb="12">
      <t>テイシ</t>
    </rPh>
    <rPh sb="12" eb="13">
      <t>ア</t>
    </rPh>
    <phoneticPr fontId="4"/>
  </si>
  <si>
    <t>2014/2/2-</t>
    <phoneticPr fontId="4"/>
  </si>
  <si>
    <t>2013~2014冬季停止明
確認作業</t>
    <rPh sb="9" eb="11">
      <t>トウキ</t>
    </rPh>
    <rPh sb="11" eb="13">
      <t>テイシ</t>
    </rPh>
    <rPh sb="13" eb="14">
      <t>ア</t>
    </rPh>
    <rPh sb="15" eb="17">
      <t>カクニン</t>
    </rPh>
    <rPh sb="17" eb="19">
      <t>サギョウ</t>
    </rPh>
    <phoneticPr fontId="4"/>
  </si>
  <si>
    <t>2013~2014冬季停止</t>
    <rPh sb="9" eb="11">
      <t>トウキ</t>
    </rPh>
    <rPh sb="11" eb="13">
      <t>テイシ</t>
    </rPh>
    <phoneticPr fontId="4"/>
  </si>
  <si>
    <t>2013夏季停止明け</t>
    <phoneticPr fontId="4"/>
  </si>
  <si>
    <t>2013夏季停止</t>
    <phoneticPr fontId="4"/>
  </si>
  <si>
    <t>2013GW明け</t>
    <rPh sb="6" eb="7">
      <t>ア</t>
    </rPh>
    <phoneticPr fontId="4"/>
  </si>
  <si>
    <t>2012夏</t>
    <rPh sb="4" eb="5">
      <t>ナツ</t>
    </rPh>
    <phoneticPr fontId="4"/>
  </si>
  <si>
    <t>ok</t>
    <phoneticPr fontId="4"/>
  </si>
  <si>
    <t>irisの読みがおかしい
以前線を取り外していた</t>
    <rPh sb="5" eb="6">
      <t>ヨ</t>
    </rPh>
    <rPh sb="13" eb="15">
      <t>イゼン</t>
    </rPh>
    <rPh sb="15" eb="16">
      <t>セン</t>
    </rPh>
    <rPh sb="17" eb="18">
      <t>ト</t>
    </rPh>
    <rPh sb="19" eb="20">
      <t>ハズ</t>
    </rPh>
    <phoneticPr fontId="4"/>
  </si>
  <si>
    <t>切換不能な箇所は光の配線ミスだった</t>
    <rPh sb="0" eb="2">
      <t>キリカエ</t>
    </rPh>
    <rPh sb="2" eb="4">
      <t>フノウ</t>
    </rPh>
    <rPh sb="5" eb="7">
      <t>カショ</t>
    </rPh>
    <rPh sb="8" eb="9">
      <t>ヒカリ</t>
    </rPh>
    <rPh sb="10" eb="12">
      <t>ハイセン</t>
    </rPh>
    <phoneticPr fontId="4"/>
  </si>
  <si>
    <t>IRISをセットできない
ローカルでもセット不可
原因不明、取り外した</t>
    <rPh sb="22" eb="24">
      <t>フカ</t>
    </rPh>
    <rPh sb="25" eb="27">
      <t>ゲンイン</t>
    </rPh>
    <rPh sb="27" eb="29">
      <t>フメイ</t>
    </rPh>
    <rPh sb="30" eb="31">
      <t>ト</t>
    </rPh>
    <rPh sb="32" eb="33">
      <t>ハズ</t>
    </rPh>
    <phoneticPr fontId="4"/>
  </si>
  <si>
    <t>問題なし</t>
    <rPh sb="0" eb="2">
      <t>モンダイ</t>
    </rPh>
    <phoneticPr fontId="4"/>
  </si>
  <si>
    <t>画像見え方がおかしい　上側だけ明るく下側が真っ暗　CCD 入切で復旧</t>
    <rPh sb="0" eb="2">
      <t>ガゾウ</t>
    </rPh>
    <rPh sb="2" eb="3">
      <t>ミ</t>
    </rPh>
    <rPh sb="4" eb="5">
      <t>カタ</t>
    </rPh>
    <rPh sb="11" eb="12">
      <t>ウエ</t>
    </rPh>
    <rPh sb="12" eb="13">
      <t>ガワ</t>
    </rPh>
    <rPh sb="15" eb="16">
      <t>アカ</t>
    </rPh>
    <rPh sb="18" eb="20">
      <t>シタガワ</t>
    </rPh>
    <rPh sb="21" eb="22">
      <t>マ</t>
    </rPh>
    <rPh sb="23" eb="24">
      <t>クラ</t>
    </rPh>
    <rPh sb="29" eb="30">
      <t>イ</t>
    </rPh>
    <rPh sb="30" eb="31">
      <t>キリ</t>
    </rPh>
    <rPh sb="32" eb="34">
      <t>フッキュウ</t>
    </rPh>
    <phoneticPr fontId="4"/>
  </si>
  <si>
    <t>LAN配線未接続の為
未確認</t>
    <rPh sb="3" eb="5">
      <t>ハイセン</t>
    </rPh>
    <rPh sb="5" eb="8">
      <t>ミセツゾク</t>
    </rPh>
    <rPh sb="9" eb="10">
      <t>タメ</t>
    </rPh>
    <rPh sb="11" eb="14">
      <t>ミカクニン</t>
    </rPh>
    <phoneticPr fontId="4"/>
  </si>
  <si>
    <t>画像収集できるがLEDが反応せず</t>
    <rPh sb="0" eb="2">
      <t>ガゾウ</t>
    </rPh>
    <rPh sb="2" eb="4">
      <t>シュウシュウ</t>
    </rPh>
    <rPh sb="12" eb="14">
      <t>ハンノウ</t>
    </rPh>
    <phoneticPr fontId="4"/>
  </si>
  <si>
    <t>×</t>
    <phoneticPr fontId="4"/>
  </si>
  <si>
    <t>f127 画像収集が不可能</t>
    <phoneticPr fontId="4"/>
  </si>
  <si>
    <t>f117発生
画像サーバリブートして
切替機延長器の入切で復旧</t>
    <rPh sb="4" eb="6">
      <t>ハッセイ</t>
    </rPh>
    <rPh sb="7" eb="9">
      <t>ガゾウ</t>
    </rPh>
    <rPh sb="19" eb="22">
      <t>キリカエキ</t>
    </rPh>
    <rPh sb="22" eb="24">
      <t>エンチョウ</t>
    </rPh>
    <rPh sb="24" eb="25">
      <t>キ</t>
    </rPh>
    <rPh sb="26" eb="27">
      <t>ニュウ</t>
    </rPh>
    <rPh sb="27" eb="28">
      <t>キリ</t>
    </rPh>
    <rPh sb="29" eb="31">
      <t>フッキュウ</t>
    </rPh>
    <phoneticPr fontId="4"/>
  </si>
  <si>
    <t>カメラ切換失敗したが復旧</t>
    <phoneticPr fontId="4"/>
  </si>
  <si>
    <t>f117で収集不能
延長器切替器を入切して復旧 xsbtと同じ症状</t>
    <rPh sb="5" eb="7">
      <t>シュウシュウ</t>
    </rPh>
    <rPh sb="7" eb="9">
      <t>フノウ</t>
    </rPh>
    <rPh sb="10" eb="13">
      <t>エンチョウキ</t>
    </rPh>
    <rPh sb="13" eb="15">
      <t>キリカエ</t>
    </rPh>
    <rPh sb="15" eb="16">
      <t>キ</t>
    </rPh>
    <rPh sb="17" eb="18">
      <t>イリ</t>
    </rPh>
    <rPh sb="18" eb="19">
      <t>キリ</t>
    </rPh>
    <rPh sb="21" eb="23">
      <t>フッキュウ</t>
    </rPh>
    <rPh sb="29" eb="30">
      <t>オナ</t>
    </rPh>
    <rPh sb="31" eb="33">
      <t>ショウジョウ</t>
    </rPh>
    <phoneticPr fontId="4"/>
  </si>
  <si>
    <t>LED切れ？</t>
    <rPh sb="3" eb="4">
      <t>キ</t>
    </rPh>
    <phoneticPr fontId="4"/>
  </si>
  <si>
    <t>カメラなし</t>
    <phoneticPr fontId="4"/>
  </si>
  <si>
    <t>f117で収集不能
延長器切替器を入切して復旧 xsbtと同じ症状</t>
    <rPh sb="5" eb="7">
      <t>シュウシュウ</t>
    </rPh>
    <rPh sb="7" eb="9">
      <t>フノウ</t>
    </rPh>
    <phoneticPr fontId="4"/>
  </si>
  <si>
    <t>CB07をPythonGUIで選択したところフリーズ
原因不明のまま復旧</t>
    <rPh sb="15" eb="17">
      <t>センタク</t>
    </rPh>
    <rPh sb="27" eb="29">
      <t>ゲンイン</t>
    </rPh>
    <rPh sb="29" eb="31">
      <t>フメイ</t>
    </rPh>
    <rPh sb="34" eb="36">
      <t>フッキュウ</t>
    </rPh>
    <phoneticPr fontId="4"/>
  </si>
  <si>
    <t>撤去</t>
    <rPh sb="0" eb="2">
      <t>テッキョ</t>
    </rPh>
    <phoneticPr fontId="4"/>
  </si>
  <si>
    <t>DBでLEDの
ステータスが読めていない</t>
    <rPh sb="14" eb="15">
      <t>ヨ</t>
    </rPh>
    <phoneticPr fontId="4"/>
  </si>
  <si>
    <t>f127 CCDの電源ランプがオレンジっぽい色
CCD交換して復旧</t>
    <rPh sb="9" eb="11">
      <t>デンゲン</t>
    </rPh>
    <rPh sb="22" eb="23">
      <t>イロ</t>
    </rPh>
    <rPh sb="27" eb="29">
      <t>コウカン</t>
    </rPh>
    <rPh sb="31" eb="33">
      <t>フッキュウ</t>
    </rPh>
    <phoneticPr fontId="4"/>
  </si>
  <si>
    <t>OTR -&gt; YAG  Target change</t>
    <phoneticPr fontId="4"/>
  </si>
  <si>
    <t>f127でカメラ切替不能
復旧作業はしていない</t>
    <rPh sb="8" eb="10">
      <t>キリカエ</t>
    </rPh>
    <rPh sb="10" eb="12">
      <t>フノウ</t>
    </rPh>
    <rPh sb="13" eb="15">
      <t>フッキュウ</t>
    </rPh>
    <rPh sb="15" eb="17">
      <t>サギョウ</t>
    </rPh>
    <phoneticPr fontId="4"/>
  </si>
  <si>
    <t>irisの読みがおかしい、引っかかっていた</t>
    <rPh sb="5" eb="6">
      <t>ヨ</t>
    </rPh>
    <rPh sb="13" eb="14">
      <t>ヒ</t>
    </rPh>
    <phoneticPr fontId="4"/>
  </si>
  <si>
    <t>f117 CCD 入切で復旧</t>
    <rPh sb="9" eb="10">
      <t>イ</t>
    </rPh>
    <rPh sb="10" eb="11">
      <t>キリ</t>
    </rPh>
    <rPh sb="12" eb="14">
      <t>フッキュウ</t>
    </rPh>
    <phoneticPr fontId="4"/>
  </si>
  <si>
    <t>アイリスがリモートで動かない</t>
  </si>
  <si>
    <t xml:space="preserve"> SCM-BTA1-1にて30秒に１回くらいEvent#がずれてそのときの画像は真っ暗で、延長器のLEDが赤点灯。CCDの故障を疑い翌日交換を行った。Irisも操作できなったがこれはカバーが当たっていたためで全開で固定した。</t>
    <phoneticPr fontId="4"/>
  </si>
  <si>
    <t>切替え不能
切替え時タイムアウト
MS_API_ERR_RCV</t>
    <rPh sb="0" eb="2">
      <t>キリカ</t>
    </rPh>
    <rPh sb="3" eb="5">
      <t>フノウ</t>
    </rPh>
    <rPh sb="6" eb="8">
      <t>キリカ</t>
    </rPh>
    <rPh sb="9" eb="10">
      <t>ジ</t>
    </rPh>
    <phoneticPr fontId="4"/>
  </si>
  <si>
    <t>IRISの操作が出来ず、現状の値も取得できない</t>
    <phoneticPr fontId="4"/>
  </si>
  <si>
    <t>3段だが2段だったのでConfig修正</t>
    <rPh sb="17" eb="19">
      <t>シュウセイ</t>
    </rPh>
    <phoneticPr fontId="4"/>
  </si>
  <si>
    <t>f127シリアル受信失敗</t>
    <phoneticPr fontId="4"/>
  </si>
  <si>
    <t>f127シリアル受信失敗</t>
  </si>
  <si>
    <t>f117</t>
    <phoneticPr fontId="4"/>
  </si>
  <si>
    <t>f127シリアル受信失敗
切替機xfcamsel-su16-01
CCD入切を数回して復旧</t>
    <rPh sb="8" eb="10">
      <t>ジュシン</t>
    </rPh>
    <rPh sb="10" eb="12">
      <t>シッパイ</t>
    </rPh>
    <rPh sb="13" eb="16">
      <t>キリカエキ</t>
    </rPh>
    <rPh sb="36" eb="37">
      <t>ニュウ</t>
    </rPh>
    <rPh sb="37" eb="38">
      <t>キリ</t>
    </rPh>
    <rPh sb="39" eb="41">
      <t>スウカイ</t>
    </rPh>
    <rPh sb="43" eb="45">
      <t>フッキュウ</t>
    </rPh>
    <phoneticPr fontId="4"/>
  </si>
  <si>
    <t>PLC経由のコマンドが通らない
MS_API_ERR_RCV
ステータス読み返しもおかしい</t>
    <rPh sb="3" eb="5">
      <t>ケイユ</t>
    </rPh>
    <rPh sb="11" eb="12">
      <t>トオ</t>
    </rPh>
    <rPh sb="36" eb="37">
      <t>ヨ</t>
    </rPh>
    <rPh sb="38" eb="39">
      <t>カエ</t>
    </rPh>
    <phoneticPr fontId="4"/>
  </si>
  <si>
    <t>現場PLC画面で存在しない。
Setting画面でDisableになっていた。
2015/1/14にtellemではokで、tellmsではコマンドが通らない。rpc_emが古いままだった。</t>
    <rPh sb="0" eb="2">
      <t>ゲンバ</t>
    </rPh>
    <rPh sb="5" eb="7">
      <t>ガメン</t>
    </rPh>
    <rPh sb="8" eb="10">
      <t>ソンザイ</t>
    </rPh>
    <rPh sb="22" eb="24">
      <t>ガメン</t>
    </rPh>
    <rPh sb="75" eb="76">
      <t>トオ</t>
    </rPh>
    <rPh sb="87" eb="88">
      <t>フル</t>
    </rPh>
    <phoneticPr fontId="4"/>
  </si>
  <si>
    <t>LED反応なし</t>
  </si>
  <si>
    <t>config修正</t>
    <rPh sb="6" eb="8">
      <t>シュウセイ</t>
    </rPh>
    <phoneticPr fontId="4"/>
  </si>
  <si>
    <t>statusだけ変化しないのでconfig修正</t>
    <rPh sb="8" eb="10">
      <t>ヘンカ</t>
    </rPh>
    <rPh sb="21" eb="23">
      <t>シュウセイ</t>
    </rPh>
    <phoneticPr fontId="4"/>
  </si>
  <si>
    <t>Iris接触不良</t>
    <rPh sb="4" eb="6">
      <t>セッショク</t>
    </rPh>
    <rPh sb="6" eb="8">
      <t>フリョウ</t>
    </rPh>
    <phoneticPr fontId="4"/>
  </si>
  <si>
    <t>irisがおかしい 10V掛かっている　コネクタをいじって復旧</t>
    <rPh sb="13" eb="14">
      <t>カ</t>
    </rPh>
    <rPh sb="29" eb="31">
      <t>フッキュウ</t>
    </rPh>
    <phoneticPr fontId="4"/>
  </si>
  <si>
    <t>irisの読みがおかしい
bl3_0_2のCCDをOFFにすると動いた。パワー不足</t>
    <rPh sb="5" eb="6">
      <t>ヨ</t>
    </rPh>
    <rPh sb="32" eb="33">
      <t>ウゴ</t>
    </rPh>
    <rPh sb="39" eb="41">
      <t>フソク</t>
    </rPh>
    <phoneticPr fontId="4"/>
  </si>
  <si>
    <t>f117発生</t>
    <rPh sb="4" eb="6">
      <t>ハッセイ</t>
    </rPh>
    <phoneticPr fontId="4"/>
  </si>
  <si>
    <t>切替え不能
切替え時タイムアウト
UTIL_SOCKET_TCP_ERR</t>
    <phoneticPr fontId="4"/>
  </si>
  <si>
    <t>ポジションステータスがおかしい。
一段式だがINSERT2がONになっている。
2013/1/8から 解決済</t>
    <rPh sb="51" eb="53">
      <t>カイケツ</t>
    </rPh>
    <rPh sb="53" eb="54">
      <t>ズ</t>
    </rPh>
    <phoneticPr fontId="4"/>
  </si>
  <si>
    <t>全滅
切替え失敗
f127
2015/8/1　くらいに
bl3_2, bl3_3　の
延長期をACアダプタからSW電源に変えている</t>
    <rPh sb="6" eb="8">
      <t>シッパイ</t>
    </rPh>
    <phoneticPr fontId="4"/>
  </si>
  <si>
    <t>ピントと高さがあっていないせいかLEDの反応が少ない</t>
    <rPh sb="4" eb="5">
      <t>タカ</t>
    </rPh>
    <rPh sb="20" eb="22">
      <t>ハンノウ</t>
    </rPh>
    <rPh sb="23" eb="24">
      <t>スク</t>
    </rPh>
    <phoneticPr fontId="4"/>
  </si>
  <si>
    <t>ポジションステータスがおかしい。
一段式だがINSERT2がONになっている。
2014/1/10から
以前BL3-0でも発生
PLCラダーを改修して復旧</t>
    <rPh sb="52" eb="54">
      <t>イゼン</t>
    </rPh>
    <rPh sb="61" eb="63">
      <t>ハッセイ</t>
    </rPh>
    <rPh sb="71" eb="73">
      <t>カイシュウ</t>
    </rPh>
    <rPh sb="75" eb="77">
      <t>フッキュウ</t>
    </rPh>
    <phoneticPr fontId="4"/>
  </si>
  <si>
    <t>f127でカメラ切替不能
Receiveの延長器のLEDが緑で不規則に点滅
原因はこの延長器に供給している電源ケーブルの不良だった。</t>
    <rPh sb="8" eb="10">
      <t>キリカエ</t>
    </rPh>
    <rPh sb="10" eb="12">
      <t>フノウ</t>
    </rPh>
    <rPh sb="21" eb="23">
      <t>エンチョウ</t>
    </rPh>
    <rPh sb="23" eb="24">
      <t>キ</t>
    </rPh>
    <rPh sb="29" eb="30">
      <t>ミドリ</t>
    </rPh>
    <rPh sb="31" eb="34">
      <t>フキソク</t>
    </rPh>
    <rPh sb="35" eb="37">
      <t>テンメツ</t>
    </rPh>
    <rPh sb="38" eb="40">
      <t>ゲンイン</t>
    </rPh>
    <rPh sb="43" eb="45">
      <t>エンチョウ</t>
    </rPh>
    <rPh sb="45" eb="46">
      <t>キ</t>
    </rPh>
    <rPh sb="47" eb="49">
      <t>キョウキュウ</t>
    </rPh>
    <rPh sb="53" eb="55">
      <t>デンゲン</t>
    </rPh>
    <rPh sb="60" eb="62">
      <t>フリョウ</t>
    </rPh>
    <phoneticPr fontId="4"/>
  </si>
  <si>
    <t>スジが見える（CCD焼け）。ID部のスクリーンはハローモニタトラブルの為全部焼けている。  NDフィルタを取り外してビームを見ようとしたため</t>
    <phoneticPr fontId="4"/>
  </si>
  <si>
    <t>f127 切替が不可能</t>
    <rPh sb="5" eb="7">
      <t>キリカエ</t>
    </rPh>
    <phoneticPr fontId="4"/>
  </si>
  <si>
    <t>CCDやLEDのステータスが取得できない
FLNETマップを見れば分かるらしい
2014春に修正予定
原因はPLCの2台目を見ているため</t>
    <rPh sb="30" eb="31">
      <t>ミ</t>
    </rPh>
    <rPh sb="33" eb="34">
      <t>ワ</t>
    </rPh>
    <rPh sb="44" eb="45">
      <t>ハル</t>
    </rPh>
    <rPh sb="46" eb="48">
      <t>シュウセイ</t>
    </rPh>
    <rPh sb="48" eb="50">
      <t>ヨテイ</t>
    </rPh>
    <rPh sb="51" eb="53">
      <t>ゲンイン</t>
    </rPh>
    <rPh sb="59" eb="61">
      <t>ダイメ</t>
    </rPh>
    <rPh sb="62" eb="63">
      <t>ミ</t>
    </rPh>
    <phoneticPr fontId="4"/>
  </si>
  <si>
    <t>               </t>
    <phoneticPr fontId="4"/>
  </si>
  <si>
    <t xml:space="preserve">              </t>
    <phoneticPr fontId="4"/>
  </si>
  <si>
    <t>コマンド送れない
ステータスもゲット不能
EM_RESOLVE_VOC_ERR_VO_NOT_FOUND
名前をbl3-6にする予定だったが久保田氏に伝わっておらず、PLC上での名前だけbl3-5になったままだった。次回停止期間にbl3-6にする予定。</t>
    <rPh sb="4" eb="5">
      <t>オク</t>
    </rPh>
    <rPh sb="18" eb="20">
      <t>フノウ</t>
    </rPh>
    <rPh sb="53" eb="55">
      <t>ナマエ</t>
    </rPh>
    <rPh sb="64" eb="66">
      <t>ヨテイ</t>
    </rPh>
    <rPh sb="70" eb="74">
      <t>クボタシ</t>
    </rPh>
    <rPh sb="75" eb="76">
      <t>ツタ</t>
    </rPh>
    <rPh sb="86" eb="87">
      <t>ジョウ</t>
    </rPh>
    <rPh sb="89" eb="91">
      <t>ナマエ</t>
    </rPh>
    <rPh sb="108" eb="110">
      <t>ジカイ</t>
    </rPh>
    <rPh sb="110" eb="112">
      <t>テイシ</t>
    </rPh>
    <rPh sb="112" eb="114">
      <t>キカン</t>
    </rPh>
    <rPh sb="123" eb="125">
      <t>ヨテイ</t>
    </rPh>
    <phoneticPr fontId="4"/>
  </si>
  <si>
    <t>PLC経由のコマンドが通らない
FLNET_ERROR_COMMAND_FALINK_NOT_READY
画像収集についてはf117イベント待機失敗が発生</t>
    <rPh sb="53" eb="55">
      <t>ガゾウ</t>
    </rPh>
    <rPh sb="55" eb="57">
      <t>シュウシュウ</t>
    </rPh>
    <rPh sb="70" eb="72">
      <t>タイキ</t>
    </rPh>
    <rPh sb="72" eb="74">
      <t>シッパイ</t>
    </rPh>
    <rPh sb="75" eb="77">
      <t>ハッセイ</t>
    </rPh>
    <phoneticPr fontId="4"/>
  </si>
  <si>
    <t xml:space="preserve">切替え不能
切替え時タイムアウト
MS_API_ERR_RCV
MS_API_ERR_RE
</t>
    <phoneticPr fontId="4"/>
  </si>
  <si>
    <t>LED点灯せず？暗いらしい</t>
    <phoneticPr fontId="4"/>
  </si>
  <si>
    <t>LED切れ</t>
    <phoneticPr fontId="4"/>
  </si>
  <si>
    <t>〇</t>
    <phoneticPr fontId="4"/>
  </si>
  <si>
    <t>未確認</t>
    <rPh sb="0" eb="3">
      <t>ミカクニン</t>
    </rPh>
    <phoneticPr fontId="4"/>
  </si>
  <si>
    <t>DBでLEDの
ステータスが読めていない</t>
    <phoneticPr fontId="4"/>
  </si>
  <si>
    <t>PLC経由のコマンドがとおらない
FLNET_ERROR_COMMAND_FALINK_NOT_READY
ステータスの読み返しもおかしい</t>
    <rPh sb="3" eb="5">
      <t>ケイユ</t>
    </rPh>
    <phoneticPr fontId="4"/>
  </si>
  <si>
    <t>f117(イベント待機失敗)のエラーで画像収集が途中で停止。
アンジュレータギャラリー北2に設置されている延長器の入り切りで復旧
以後複数回発生
シンクロのパターン励磁によるノイズが原因か？</t>
    <rPh sb="9" eb="11">
      <t>タイキ</t>
    </rPh>
    <rPh sb="11" eb="13">
      <t>シッパイ</t>
    </rPh>
    <rPh sb="19" eb="21">
      <t>ガゾウ</t>
    </rPh>
    <rPh sb="21" eb="23">
      <t>シュウシュウ</t>
    </rPh>
    <rPh sb="24" eb="26">
      <t>トチュウ</t>
    </rPh>
    <rPh sb="27" eb="29">
      <t>テイシ</t>
    </rPh>
    <rPh sb="53" eb="55">
      <t>エンチョウ</t>
    </rPh>
    <rPh sb="55" eb="56">
      <t>キ</t>
    </rPh>
    <rPh sb="57" eb="58">
      <t>イ</t>
    </rPh>
    <rPh sb="59" eb="60">
      <t>キ</t>
    </rPh>
    <rPh sb="62" eb="64">
      <t>フッキュウ</t>
    </rPh>
    <rPh sb="66" eb="68">
      <t>イゴ</t>
    </rPh>
    <rPh sb="68" eb="70">
      <t>フクスウ</t>
    </rPh>
    <rPh sb="70" eb="71">
      <t>カイ</t>
    </rPh>
    <rPh sb="71" eb="73">
      <t>ハッセイ</t>
    </rPh>
    <rPh sb="83" eb="85">
      <t>レイジ</t>
    </rPh>
    <rPh sb="92" eb="94">
      <t>ゲンイン</t>
    </rPh>
    <phoneticPr fontId="4"/>
  </si>
  <si>
    <t>リモートで操作不能　解決済</t>
    <phoneticPr fontId="4"/>
  </si>
  <si>
    <t>f127</t>
    <phoneticPr fontId="4"/>
  </si>
  <si>
    <t>バルブエラーにて停止。原因は圧空弁の故障
勝手に復旧</t>
    <rPh sb="21" eb="23">
      <t>カッテ</t>
    </rPh>
    <rPh sb="24" eb="26">
      <t>フッキュウ</t>
    </rPh>
    <phoneticPr fontId="4"/>
  </si>
  <si>
    <t>△挙動がおかしい、切替え出来たりできなかったり、収集もできたりできなかったり</t>
    <rPh sb="1" eb="3">
      <t>キョドウ</t>
    </rPh>
    <rPh sb="9" eb="11">
      <t>キリカ</t>
    </rPh>
    <rPh sb="12" eb="14">
      <t>デキ</t>
    </rPh>
    <rPh sb="24" eb="26">
      <t>シュウシュウ</t>
    </rPh>
    <phoneticPr fontId="4"/>
  </si>
  <si>
    <t>× XSBT収納部のLCR5の延長器が赤点灯</t>
    <rPh sb="6" eb="8">
      <t>シュウノウ</t>
    </rPh>
    <rPh sb="8" eb="9">
      <t>ブ</t>
    </rPh>
    <rPh sb="15" eb="17">
      <t>エンチョウ</t>
    </rPh>
    <rPh sb="17" eb="18">
      <t>キ</t>
    </rPh>
    <rPh sb="19" eb="20">
      <t>アカ</t>
    </rPh>
    <rPh sb="20" eb="22">
      <t>テントウ</t>
    </rPh>
    <phoneticPr fontId="4"/>
  </si>
  <si>
    <t>〇延長器一式切入してOK</t>
    <rPh sb="1" eb="3">
      <t>エンチョウ</t>
    </rPh>
    <rPh sb="3" eb="4">
      <t>キ</t>
    </rPh>
    <rPh sb="4" eb="6">
      <t>イッシキ</t>
    </rPh>
    <rPh sb="6" eb="7">
      <t>キリ</t>
    </rPh>
    <rPh sb="7" eb="8">
      <t>ニュウ</t>
    </rPh>
    <phoneticPr fontId="4"/>
  </si>
  <si>
    <t>ポジションのステータスがゲットできない
-302000104</t>
    <phoneticPr fontId="4"/>
  </si>
  <si>
    <t xml:space="preserve">PLC経由のコマンドがとおらない
FLNET_ERROR_COMMAND_FALINK_NOT_READY
</t>
    <rPh sb="3" eb="5">
      <t>ケイユ</t>
    </rPh>
    <phoneticPr fontId="4"/>
  </si>
  <si>
    <t>モータードライバ故障　解決済</t>
    <rPh sb="8" eb="10">
      <t>コショウ</t>
    </rPh>
    <phoneticPr fontId="4"/>
  </si>
  <si>
    <t>get/~/status</t>
    <phoneticPr fontId="4"/>
  </si>
  <si>
    <t>2016/1/6
停止明け</t>
    <rPh sb="9" eb="11">
      <t>テイシ</t>
    </rPh>
    <rPh sb="11" eb="12">
      <t>ア</t>
    </rPh>
    <phoneticPr fontId="4"/>
  </si>
  <si>
    <t>YAG</t>
    <phoneticPr fontId="4"/>
  </si>
  <si>
    <t>LED付けても無反応</t>
    <rPh sb="3" eb="4">
      <t>ツ</t>
    </rPh>
    <rPh sb="7" eb="8">
      <t>ム</t>
    </rPh>
    <rPh sb="8" eb="10">
      <t>ハンノウ</t>
    </rPh>
    <phoneticPr fontId="4"/>
  </si>
  <si>
    <t>カメラ故障の為、交換 カメラ裏のLEDオレンジ</t>
    <rPh sb="3" eb="5">
      <t>コショウ</t>
    </rPh>
    <rPh sb="6" eb="7">
      <t>タメ</t>
    </rPh>
    <rPh sb="8" eb="10">
      <t>コウカン</t>
    </rPh>
    <rPh sb="14" eb="15">
      <t>ウラ</t>
    </rPh>
    <phoneticPr fontId="4"/>
  </si>
  <si>
    <t>ND 1/1000  Add 1/100 20160127</t>
    <phoneticPr fontId="4"/>
  </si>
  <si>
    <t>YAG+Hole</t>
    <phoneticPr fontId="4"/>
  </si>
  <si>
    <t>OTR</t>
    <phoneticPr fontId="4"/>
  </si>
  <si>
    <t>YAG+Hole</t>
    <phoneticPr fontId="4"/>
  </si>
  <si>
    <t>scss_mon_plc_bc2</t>
    <phoneticPr fontId="4"/>
  </si>
  <si>
    <t>2014夏調べたら２段式だった、20141010松原氏よりSize,C_xyを反映。2016春頃より何故か見えなかったがレンズ位置調整で対処</t>
    <rPh sb="46" eb="47">
      <t>ハル</t>
    </rPh>
    <rPh sb="47" eb="48">
      <t>ゴロ</t>
    </rPh>
    <rPh sb="50" eb="52">
      <t>ナゼ</t>
    </rPh>
    <rPh sb="53" eb="54">
      <t>ミ</t>
    </rPh>
    <rPh sb="63" eb="65">
      <t>イチ</t>
    </rPh>
    <rPh sb="65" eb="67">
      <t>チョウセイ</t>
    </rPh>
    <rPh sb="68" eb="70">
      <t>タイショ</t>
    </rPh>
    <phoneticPr fontId="4"/>
  </si>
  <si>
    <t>20141010松原氏よりSize,C_xyを反映</t>
    <phoneticPr fontId="4"/>
  </si>
  <si>
    <t>CeYAG</t>
  </si>
  <si>
    <t>CeYAG+Hole</t>
  </si>
  <si>
    <t>f117</t>
  </si>
  <si>
    <t>scm-bl1-preid-1</t>
  </si>
  <si>
    <t>scm-bl1-3-1-1</t>
  </si>
  <si>
    <t>scm-bl1-3-2-1</t>
  </si>
  <si>
    <t>scm-bl1-3-2-2</t>
  </si>
  <si>
    <t>scm-bl1-dump-1</t>
  </si>
  <si>
    <t>scm-bl1-dump-2</t>
  </si>
  <si>
    <t>date</t>
    <phoneticPr fontId="4"/>
  </si>
  <si>
    <t>comment</t>
    <phoneticPr fontId="4"/>
  </si>
  <si>
    <t>BL1切り離しの為撤去</t>
    <rPh sb="3" eb="4">
      <t>キ</t>
    </rPh>
    <rPh sb="5" eb="6">
      <t>ハナ</t>
    </rPh>
    <rPh sb="8" eb="9">
      <t>タメ</t>
    </rPh>
    <rPh sb="9" eb="11">
      <t>テッキョ</t>
    </rPh>
    <phoneticPr fontId="4"/>
  </si>
  <si>
    <t>画像サーバーをSACLAからSCSS+に移転</t>
    <rPh sb="0" eb="2">
      <t>ガゾウ</t>
    </rPh>
    <rPh sb="20" eb="22">
      <t>イテン</t>
    </rPh>
    <phoneticPr fontId="4"/>
  </si>
  <si>
    <t>insert1</t>
    <phoneticPr fontId="4"/>
  </si>
  <si>
    <t>CCDステージ変更</t>
    <phoneticPr fontId="4"/>
  </si>
  <si>
    <t>冬停止に2段した</t>
    <phoneticPr fontId="4"/>
  </si>
  <si>
    <t>穴あきミラーから穴なしミラーに交換
YAG+Hole -&gt; YAG</t>
    <phoneticPr fontId="4"/>
  </si>
  <si>
    <t>穴あきミラーから穴なしミラーに交換したので、PixSize再算出</t>
    <phoneticPr fontId="4"/>
  </si>
  <si>
    <t>ピント再調整</t>
    <phoneticPr fontId="4"/>
  </si>
  <si>
    <t>ゲートカメラの為にシリンダー交換
Target -&gt; Ce:YAG
Run# 45183,Eve# 2221
PixSize:    1000[um] / sqrt(44^2+80^2) [px]</t>
    <phoneticPr fontId="4"/>
  </si>
  <si>
    <t>scm-rfdef</t>
    <phoneticPr fontId="4"/>
  </si>
  <si>
    <t>GUIで使用できる最大台数</t>
    <rPh sb="4" eb="6">
      <t>シヨウ</t>
    </rPh>
    <rPh sb="9" eb="11">
      <t>サイダイ</t>
    </rPh>
    <rPh sb="11" eb="13">
      <t>ダイスウ</t>
    </rPh>
    <phoneticPr fontId="4"/>
  </si>
  <si>
    <t>Target-&gt;OTR
ターゲット交換に伴うピント再調整
9.91-&gt;9.52</t>
    <phoneticPr fontId="4"/>
  </si>
  <si>
    <t>Insert1:   Target-&gt;YAG    Insert2:  YAG-&gt;OTR
ターゲット交換に伴うピント再調整
PixSize: 7.5-&gt;9.9</t>
    <phoneticPr fontId="4"/>
  </si>
  <si>
    <t>Insert1:   YAG-&gt;OTR
ターゲット交換に伴うピント再調整
17.63-&gt;17.54</t>
    <phoneticPr fontId="4"/>
  </si>
  <si>
    <t>YAG-&gt;OTR
ターゲット交換に伴うピント再調整
PixSize:17.63-&gt;17.54</t>
    <phoneticPr fontId="4"/>
  </si>
  <si>
    <t>ミラーを穴有りから穴なしに交換予定</t>
    <phoneticPr fontId="4"/>
  </si>
  <si>
    <t>名称変更</t>
    <phoneticPr fontId="4"/>
  </si>
  <si>
    <t>ID磁場測定の為一旦取外したためPixSize,画像中心再算出
詳細 SCM &amp; Streak 作業と変更の履歴2015/9/1</t>
    <rPh sb="24" eb="26">
      <t>ガゾウ</t>
    </rPh>
    <rPh sb="26" eb="28">
      <t>チュウシン</t>
    </rPh>
    <phoneticPr fontId="4"/>
  </si>
  <si>
    <t>Insert1: Target-&gt;YAG  Inser2: YAG-&gt;OTR
ターゲット交換に伴うピント再調整
PixSize  2.6-&gt;2.96</t>
    <phoneticPr fontId="4"/>
  </si>
  <si>
    <t>Target変更</t>
    <rPh sb="6" eb="8">
      <t>ヘンコウ</t>
    </rPh>
    <phoneticPr fontId="4"/>
  </si>
  <si>
    <t>松原氏よりSize,C_xyを反映</t>
    <phoneticPr fontId="4"/>
  </si>
  <si>
    <t>カメラ故障の為交換</t>
    <rPh sb="3" eb="5">
      <t>コショウ</t>
    </rPh>
    <rPh sb="6" eb="7">
      <t>タメ</t>
    </rPh>
    <rPh sb="7" eb="9">
      <t>コウカン</t>
    </rPh>
    <phoneticPr fontId="4"/>
  </si>
  <si>
    <t>from BTA2-1 2014夏</t>
    <rPh sb="16" eb="17">
      <t>ナツ</t>
    </rPh>
    <phoneticPr fontId="4"/>
  </si>
  <si>
    <t>from BTA2-2 2014夏</t>
    <rPh sb="16" eb="17">
      <t>ナツ</t>
    </rPh>
    <phoneticPr fontId="4"/>
  </si>
  <si>
    <t>from BTA2-3 2014夏</t>
    <rPh sb="16" eb="17">
      <t>ナツ</t>
    </rPh>
    <phoneticPr fontId="4"/>
  </si>
  <si>
    <t>名称変更</t>
    <phoneticPr fontId="4"/>
  </si>
  <si>
    <t>光学架台を新品にしたためpixSizeを求め直した</t>
    <phoneticPr fontId="4"/>
  </si>
  <si>
    <t>松原氏より新たに連絡があり、PixSize:9.14-&gt;9.16に修正</t>
    <phoneticPr fontId="4"/>
  </si>
  <si>
    <t>SCSS+ BC2_2でA10のカメラを使いたかったため取外し</t>
    <phoneticPr fontId="4"/>
  </si>
  <si>
    <t>scm-cb11</t>
    <phoneticPr fontId="4"/>
  </si>
  <si>
    <t>bl3_5 -&gt; bl3_6に名称変更. 旧名称　SCM-BL3-PRDP-1</t>
    <phoneticPr fontId="4"/>
  </si>
  <si>
    <t>M4だったが画像の中心がズレていたので、カメラ本体の大きさが違うA10のカメラに付け替えた</t>
    <phoneticPr fontId="4"/>
  </si>
  <si>
    <t>松原よりメール.PixSize更新</t>
  </si>
  <si>
    <t>2016/11/21松原よりメール.PixSize更新</t>
  </si>
  <si>
    <t>scm-bl2-4</t>
    <phoneticPr fontId="4"/>
  </si>
  <si>
    <t>BL2用　8台追加</t>
    <phoneticPr fontId="4"/>
  </si>
  <si>
    <t>xfel_mon_plc_ms</t>
    <phoneticPr fontId="4"/>
  </si>
  <si>
    <t>xfel_mon_plc_bta_1</t>
    <phoneticPr fontId="4"/>
  </si>
  <si>
    <t>BIC変更（BT-UN-1 -&gt; MS）
PLC:xfel_mon_plc_bta_1-&gt;xfel_mon_plc_ms
スクリーンの場所が光原棟-&gt;加速器棟に移動になるため
2016/12/5メール
※BIC（BT-UN-1)にはγストッパーが入る</t>
    <rPh sb="3" eb="5">
      <t>ヘンコウ</t>
    </rPh>
    <rPh sb="67" eb="69">
      <t>バショ</t>
    </rPh>
    <rPh sb="70" eb="73">
      <t>ミツハラトウ</t>
    </rPh>
    <rPh sb="75" eb="79">
      <t>カソクキトウ</t>
    </rPh>
    <rPh sb="80" eb="82">
      <t>イドウ</t>
    </rPh>
    <rPh sb="123" eb="124">
      <t>ハイ</t>
    </rPh>
    <phoneticPr fontId="4"/>
  </si>
  <si>
    <t>scm-s-inj-238-1</t>
    <phoneticPr fontId="4"/>
  </si>
  <si>
    <t>scm-s-inj-238-1</t>
    <phoneticPr fontId="4"/>
  </si>
  <si>
    <t>BTA 穴あきYagに</t>
    <phoneticPr fontId="4"/>
  </si>
  <si>
    <t>有</t>
    <rPh sb="0" eb="1">
      <t>ユウ</t>
    </rPh>
    <phoneticPr fontId="4"/>
  </si>
  <si>
    <t xml:space="preserve">OTR(susホイール)からYAG(3mm)に交換 </t>
    <phoneticPr fontId="4"/>
  </si>
  <si>
    <t>XSBT</t>
    <phoneticPr fontId="4"/>
  </si>
  <si>
    <t xml:space="preserve">制御室光源棟間の延長器TX,RX を155-&gt;55     </t>
    <rPh sb="8" eb="10">
      <t>エンチョウ</t>
    </rPh>
    <rPh sb="10" eb="11">
      <t>キ</t>
    </rPh>
    <phoneticPr fontId="4"/>
  </si>
  <si>
    <t>TX,RX 13,14 を155-&gt;55</t>
    <phoneticPr fontId="4"/>
  </si>
  <si>
    <t>TX,RX 15~17 を155-&gt;55     
RX1~14 のディップSW5をON</t>
    <phoneticPr fontId="4"/>
  </si>
  <si>
    <t>XSBT-CCD17,18の延長器をRX13,14を一旦、切り離し、復旧
XSBT-CCD17,18のXSBT-Sy間のイーサネットケーブルの両端にノイズ除去用のファインネットコアを設置したところ1Hzで緑赤に点滅することはなくなった</t>
    <phoneticPr fontId="4"/>
  </si>
  <si>
    <t>scm-bl1-predump-2</t>
    <phoneticPr fontId="4"/>
  </si>
  <si>
    <t>scm-bl1-predump-2</t>
    <phoneticPr fontId="4"/>
  </si>
  <si>
    <t>撤去 (分電盤USM8と9の間にあるもの)</t>
    <phoneticPr fontId="4"/>
  </si>
  <si>
    <t>光-&gt;電気変換機をXSBTに使っていたものに交換
BC1からの光をTTLにして画像サーバーに入れるもの。</t>
    <phoneticPr fontId="4"/>
  </si>
  <si>
    <t>scm-bc3-2</t>
    <phoneticPr fontId="4"/>
  </si>
  <si>
    <t>scm-bc3-2</t>
    <phoneticPr fontId="4"/>
  </si>
  <si>
    <t>NDフィルタを入れた</t>
    <phoneticPr fontId="4"/>
  </si>
  <si>
    <t>ピント調整、　NDフィルタを少なくし１桁明るくした</t>
    <phoneticPr fontId="4"/>
  </si>
  <si>
    <t>ピント調整、　NDフィルタを少なくし２桁明るくした</t>
  </si>
  <si>
    <t>ピント調整、　NDフィルタを少なくし３桁明るくした</t>
  </si>
  <si>
    <t>ピント調整、　NDフィルタを少なくし４桁明るくした</t>
  </si>
  <si>
    <t>scm-rfdef</t>
    <phoneticPr fontId="4"/>
  </si>
  <si>
    <t>Desmarquest の部分のターゲットを新品に交換</t>
    <phoneticPr fontId="4"/>
  </si>
  <si>
    <t>Desmarquest の部分のターゲットを新品に交換する予定だったがターゲットを取り外して見てみて新品っぽかったのでそのまま付け直した</t>
    <rPh sb="29" eb="31">
      <t>ヨテイ</t>
    </rPh>
    <rPh sb="41" eb="42">
      <t>ト</t>
    </rPh>
    <rPh sb="43" eb="44">
      <t>ハズ</t>
    </rPh>
    <phoneticPr fontId="4"/>
  </si>
  <si>
    <t>OTR -&gt; Desmarquest新品に交換
その際、ターゲットを固定するホルダーがなかったためBL3ギャラリーに放置されていたSCMからホルダーを取り出した。</t>
    <phoneticPr fontId="4"/>
  </si>
  <si>
    <t>scm-bl1-0-1</t>
    <phoneticPr fontId="4"/>
  </si>
  <si>
    <t>scm-bl1-3-1</t>
    <phoneticPr fontId="4"/>
  </si>
  <si>
    <t>調べたら3段式だった</t>
    <phoneticPr fontId="4"/>
  </si>
  <si>
    <t>BTA組み替えにともなう変更
        scm_ms_1 （鉄架台 必要）
        scm_bta_1_1
          （3段式チャンバ、1倍光学系へ交換）
        scm_bta_1_3
         scm_bta_2_1
         scm_bta_2_2
          （設置時にBL2 ショートラック 前ケーブルラダー 干渉注意）
        scm_bl1_0_1
  BTA組み換えのため位置をずらしたMS、BTA全部、BL1_0_1のピント調整実施。
　MSのinsert2はターゲット入っていない？？</t>
    <phoneticPr fontId="4"/>
  </si>
  <si>
    <t xml:space="preserve">     田尻氏よりBTA1_1のpix/sizeがおかしいのではないかと指摘。
　　　run# 37414
    翌日松原氏に確認したところ冬の停止期間の光学架台を新品にしたため変わって居るとここと．
　1倍光学系らしい．　．
　私の方で算出したところ9.14um/pixだった．</t>
    <phoneticPr fontId="4"/>
  </si>
  <si>
    <t>scm-bta-1-1</t>
    <phoneticPr fontId="4"/>
  </si>
  <si>
    <t>ピント調整</t>
  </si>
  <si>
    <t>有</t>
    <rPh sb="0" eb="1">
      <t>ア</t>
    </rPh>
    <phoneticPr fontId="4"/>
  </si>
  <si>
    <t>BL2のSCMにおいて、不感帯のあるSCMが確認されております。
 疑わしい箇所について、検討をしてみました。
 構成上、調整に余裕が少なく不感帯が現れる可能性がありました。
 原因は、確実ではないですが、
  第一要因として以下の2点を疑っております。
   ・ 可変アイリス
   ・ 結像レンズの位置</t>
    <phoneticPr fontId="4"/>
  </si>
  <si>
    <t>台座をアライメントし直し、400umほど下がったため、スクリーンの台座を調整して十字(insert1)が真ん中に来るようにした。
     このとき、ピントも少しずれたので調整しなおした。</t>
    <phoneticPr fontId="4"/>
  </si>
  <si>
    <t>BL2</t>
    <phoneticPr fontId="4"/>
  </si>
  <si>
    <t>scm-bl3-2</t>
    <phoneticPr fontId="4"/>
  </si>
  <si>
    <t>Receiveの延長器のLEDが緑で不規則に点滅。原因はこの延長器に供給している電源ケーブルの不良だった。別の電源ケーブルに入れ替えて復旧
     xfcamsel-nu10-01のch3にぶら下っている延長器</t>
    <phoneticPr fontId="4"/>
  </si>
  <si>
    <t>ピント調整
ただし、普通のピント調整でなく、真ん中付近に抜けが見られるため、これが見えなくなるようにCCD Positionを動かした。</t>
    <phoneticPr fontId="4"/>
  </si>
  <si>
    <t>scm-bl1-0-1</t>
    <phoneticPr fontId="4"/>
  </si>
  <si>
    <t>SCM-BL2のピント調整実施（詳細は運転ログノート＃18p48）</t>
    <phoneticPr fontId="4"/>
  </si>
  <si>
    <t>ピント（CCD距離）校正を実施  SCM-BL2-0-1 CCDポジションを15.19mm→14.93mmに変更</t>
    <phoneticPr fontId="4"/>
  </si>
  <si>
    <t>SCSS+用画像サーバーをテストスタンドからSCSS+ BC1に移転</t>
    <phoneticPr fontId="4"/>
  </si>
  <si>
    <t>SCSS+　bc1_4 ~ cb3_4 まで、切替機のチャンネル割り当てが当初の予定と異なっていた為、現場と照らし合わせて修正</t>
    <phoneticPr fontId="4"/>
  </si>
  <si>
    <t>SCSS+</t>
    <phoneticPr fontId="4"/>
  </si>
  <si>
    <t>scm-s-bc1-2</t>
    <phoneticPr fontId="4"/>
  </si>
  <si>
    <t>当初M4の予定だったが、A10になった。</t>
  </si>
  <si>
    <t>PixSize＆画像中心求める</t>
    <phoneticPr fontId="4"/>
  </si>
  <si>
    <t>カメラ故障の為交換、ピント調整</t>
    <rPh sb="3" eb="5">
      <t>コショウ</t>
    </rPh>
    <rPh sb="6" eb="7">
      <t>タメ</t>
    </rPh>
    <rPh sb="7" eb="9">
      <t>コウカン</t>
    </rPh>
    <rPh sb="13" eb="15">
      <t>チョウセイ</t>
    </rPh>
    <phoneticPr fontId="4"/>
  </si>
  <si>
    <t>NDフィルタを1/100 -&gt; 1/10へ</t>
    <phoneticPr fontId="4"/>
  </si>
  <si>
    <t>NDフィルタを1/100 -&gt; 1/10へ　　　　1/100に戻す予定</t>
    <rPh sb="31" eb="32">
      <t>モド</t>
    </rPh>
    <rPh sb="33" eb="35">
      <t>ヨテイ</t>
    </rPh>
    <phoneticPr fontId="4"/>
  </si>
  <si>
    <t>resolve open error 
アラーム監視をトラブルに</t>
    <phoneticPr fontId="4"/>
  </si>
  <si>
    <t>穴あきミラーによる、画像中心の欠損箇所対策 
穴が大きすぎて小さいレンズでは光を集めきれないため欠損する。
圧空シリンダを途中で停止するように、ストッパー部に細工を施した</t>
    <phoneticPr fontId="4"/>
  </si>
  <si>
    <t>Server</t>
    <phoneticPr fontId="4"/>
  </si>
  <si>
    <t>ピントの調整</t>
    <phoneticPr fontId="4"/>
  </si>
  <si>
    <t>scm-bl1-3-1-1</t>
    <phoneticPr fontId="4"/>
  </si>
  <si>
    <t>scm-bl1-3-1-1</t>
    <phoneticPr fontId="4"/>
  </si>
  <si>
    <t>scm-s-bc1-1</t>
    <phoneticPr fontId="4"/>
  </si>
  <si>
    <t>scm-s-bc1-1</t>
    <phoneticPr fontId="4"/>
  </si>
  <si>
    <t>scm-s-bc1-4</t>
    <phoneticPr fontId="4"/>
  </si>
  <si>
    <t>scm-s-bc1-4</t>
    <phoneticPr fontId="4"/>
  </si>
  <si>
    <t>ピントの調整   OTRスクリーン ピントの確認だけ行った。</t>
    <phoneticPr fontId="4"/>
  </si>
  <si>
    <t>不感帯のあるカメラ (穴が大きいため。レンズが小さくて集光できていない）</t>
    <phoneticPr fontId="4"/>
  </si>
  <si>
    <t>カラーパレットの検討。結局採用されず</t>
    <rPh sb="8" eb="10">
      <t>ケントウ</t>
    </rPh>
    <rPh sb="11" eb="13">
      <t>ケッキョク</t>
    </rPh>
    <rPh sb="13" eb="15">
      <t>サイヨウ</t>
    </rPh>
    <phoneticPr fontId="4"/>
  </si>
  <si>
    <t>穴有ミラーから穴無しに交換。PixSize再算出</t>
    <phoneticPr fontId="4"/>
  </si>
  <si>
    <t>scm-s-cb2-1</t>
    <phoneticPr fontId="4"/>
  </si>
  <si>
    <t>ND  1/10  -&gt;  1/5</t>
    <phoneticPr fontId="4"/>
  </si>
  <si>
    <t>カメラ交換</t>
    <phoneticPr fontId="4"/>
  </si>
  <si>
    <t>加速器調整により、伝送電荷量が増えプロファイルが飽和。
アイリス30%に絞り対処</t>
    <rPh sb="0" eb="3">
      <t>カソクキ</t>
    </rPh>
    <rPh sb="3" eb="5">
      <t>チョウセイ</t>
    </rPh>
    <rPh sb="9" eb="11">
      <t>デンソウ</t>
    </rPh>
    <rPh sb="11" eb="13">
      <t>デンカ</t>
    </rPh>
    <rPh sb="13" eb="14">
      <t>リョウ</t>
    </rPh>
    <rPh sb="15" eb="16">
      <t>フ</t>
    </rPh>
    <rPh sb="24" eb="26">
      <t>ホウワ</t>
    </rPh>
    <rPh sb="36" eb="37">
      <t>シボ</t>
    </rPh>
    <phoneticPr fontId="4"/>
  </si>
  <si>
    <t>s-scm-bc2-4</t>
  </si>
  <si>
    <t>s-scm-cb02</t>
  </si>
  <si>
    <t>s-scm-cb03</t>
  </si>
  <si>
    <t>CCDステージResolve open error。モータードライバ1番のつまみを下げ、絶対値を読まないようにして解消</t>
    <phoneticPr fontId="4"/>
  </si>
  <si>
    <t>YAG+Holeの穴が大きすぎて欠損が大きかったため、OTRに交換
Field\XFEL\スクリーンモニタ\ピント調整\20160328ピント調整　\\saclaopr19.spring8.or.jp\common\作業報告\作業報告書\20160325_SCSS_SCM交換.xlsx
ピント調整のやり方は SCMノートのOTRピント調整参照</t>
    <phoneticPr fontId="4"/>
  </si>
  <si>
    <t>画像に傷？汚れ？が見られるためYAGを新品に交換。ミラーそのまま（穴なし）。改善せず。</t>
    <rPh sb="0" eb="2">
      <t>ガゾウ</t>
    </rPh>
    <rPh sb="3" eb="4">
      <t>キズ</t>
    </rPh>
    <rPh sb="5" eb="6">
      <t>ヨゴ</t>
    </rPh>
    <rPh sb="9" eb="10">
      <t>ミ</t>
    </rPh>
    <rPh sb="33" eb="34">
      <t>アナ</t>
    </rPh>
    <rPh sb="38" eb="40">
      <t>カイゼン</t>
    </rPh>
    <phoneticPr fontId="4"/>
  </si>
  <si>
    <t>視野を広げるためLENS(ターゲットから離す),CCD位置調整
PixSize:1.55 -&gt; 4.16    Cx:688 -&gt; 698    Cy:515 -&gt; 548</t>
    <rPh sb="20" eb="21">
      <t>ハナ</t>
    </rPh>
    <phoneticPr fontId="4"/>
  </si>
  <si>
    <t>夏前までのSCM画像データを見たい場合は、xfopcon-06でお願いします。
夏前までの分を別のハードディスク(xtsfs-xts-01:/data)へ移しました。この
ディスクはxfopcon-06でしかマウントしていません。
なおバックグランドデータは元のxffs-xcr-01:/dataに残してあります。なので
すべてのxfopconから参照できます。</t>
    <phoneticPr fontId="4"/>
  </si>
  <si>
    <t>画像データを保存している/dataのあるディスク(xffs-xcr-01)の使用割合が増えたので、2013夏から2014夏までの1年分を別のディスク（xtsfs-xts-01）へ移動。xfmnt-03では移動先を/dataへリンクしてあるので見ることが出来ます。(後日2016/8/19にxfopcon-06で閲覧可能にした)</t>
    <rPh sb="132" eb="134">
      <t>ゴジツ</t>
    </rPh>
    <rPh sb="155" eb="157">
      <t>エツラン</t>
    </rPh>
    <rPh sb="157" eb="159">
      <t>カノウ</t>
    </rPh>
    <phoneticPr fontId="4"/>
  </si>
  <si>
    <t>scm-bc2-3</t>
  </si>
  <si>
    <t>GUI動作試験
取得データ
RUN Gain TR Delay 
33389 0 1ns 8100 
33390 
 500ps 12030 
33391 
 200ps 18180 
33398~33400 
 100ps 21120 
33401~33403 
 50ps 14470 
33404~33406 
 20ps 16240 
33410~33414 
 50ps 14460 
改善点：
　1. 重心をうまく算出できていないのでガウスフィットをして、平均を使う。　済
　2. Color Levelが画像を変えるたびに4096に戻ってしまうので戻らないように。済
　3. 画像取得中もゲインを変えられるように。画像取得部をスレッドにする。 　済</t>
    <phoneticPr fontId="4"/>
  </si>
  <si>
    <t>以前XSBT19にてモータードライバが故障した。その原因としてシンクロのパターン励磁が疑われる
LENSのモーターを動かし続け、いつ停止するかを検証する。
シンクロが励磁されているかは　sy_mag_ps_b_fb1/current
3/3ログ
9:12  START
10:29 誘起法のため一旦停止
10:33 Syパターン運転開始1(Kikker, B)
11:02 再START</t>
    <phoneticPr fontId="4"/>
  </si>
  <si>
    <t>光源棟にて、切替機のACアダプター関連の作業が行われたらしい（業者）</t>
    <phoneticPr fontId="4"/>
  </si>
  <si>
    <t>SACLA ストリークカメラの位置とタイミングの調整作業</t>
    <phoneticPr fontId="4"/>
  </si>
  <si>
    <t>現行のギャラリーにある画像サーバーxfimg-xcr-01は引退させ、XSBT用に使っていた画像サーバをギャラリーのラックに移設する。
詳細は　\Temporary_moved\Field\XFEL\スクリーンモニタGUI\資料\SCM配線図\冬季停止変更20131210</t>
    <phoneticPr fontId="4"/>
  </si>
  <si>
    <t>GUI動作試験
RUN Gain TR Delay 
34089 50 500ps 12030 
34102 50 200ps 18260 
34103 - 34106 50 -&gt; 62 100ps 21150 
34107 - 34112 62 50ps 14470 
34117 62 20ps 16240 
 　改善点：
　1. shutterのopen/closeのステータスのコマンド                                        済
　2. プログレスバーの円が100ショットくらいだとうまく表示されない。　済
　　　小数点以下が切り捨てされていた。
　3. Delya timeの設定をボタン化　　　　　　　　　　　　　　　　　　　済
   4. Startしただけではrun#の表示が更新されない。Anaするとできるが。　済
   5. 採用したくないショットは解析から外す
　　　ビームが来ていないショットを自動で選別するための指標としてガウスフィットパラメタの　Normと最大値が小さくて、Sigmaが大きいものは怪しい
   6.  htmlリストに各画像へのリンクを張る　　　　　　　　　　　　　　　済
   7.  Stopボタンの追加　　　　　　　　　　　　　　　　　　　　　　　　済</t>
    <phoneticPr fontId="4"/>
  </si>
  <si>
    <t>RFDEF確認せず引渡してしまった事件を受け、GUI立上時に
Gain 0-&gt;50, ShutterSpeed 1/24 -&gt; 1/100　になるように変更。</t>
    <phoneticPr fontId="4"/>
  </si>
  <si>
    <t>ターゲット交換
散乱と思われる明るい部分が写っているため、新しいYAGスクリーンに交換
この明るい部分は普段はでないがビームを動かすと出現し、出る所は同じ。
真空立上時、CCG1,2立上り難くかった。CCGの周辺をコンコンと叩いて何十回もトライしてやっと入った。CCGコントローラを交換してみたが変わらず。</t>
    <phoneticPr fontId="4"/>
  </si>
  <si>
    <t>Target-&gt;OTR
ターゲット交換に伴うピント再調整
PixSize: 9.68-&gt;9.8</t>
    <phoneticPr fontId="4"/>
  </si>
  <si>
    <t xml:space="preserve">ID磁場測定の為どけた為、PixSize＆画像中心再算出
</t>
    <rPh sb="11" eb="12">
      <t>タメ</t>
    </rPh>
    <phoneticPr fontId="4"/>
  </si>
  <si>
    <t>YAG+Holeの穴が大きすぎて欠損が大きかったため、OTRに交換
Field\XFEL\スクリーンモニタ\ピント調整\20160328ピント調整　\\saclaopr19.spring8.or.jp\common\作業報告\作業報告書\20160325_SCSS_SCM交換.xlsx
ピント調整のやり方は SCMノートのOTRピント調整参照</t>
    <phoneticPr fontId="4"/>
  </si>
  <si>
    <t xml:space="preserve">NDフィルター少なくした。
pixcel sizeを測る為にシムを入れて測定しなおした。
より集光する為、レンズを近づけたので再度pixcel sizeを測定しなおした。 </t>
    <phoneticPr fontId="4"/>
  </si>
  <si>
    <t>縞模様の為、カメラ交換</t>
    <rPh sb="4" eb="5">
      <t>タメ</t>
    </rPh>
    <phoneticPr fontId="4"/>
  </si>
  <si>
    <t>名前変更　scm_bl1_3_1　-&gt;  scm_bl1_3_1_1</t>
    <phoneticPr fontId="4"/>
  </si>
  <si>
    <t>名前変更　scm_bl1_3_2 -&gt; scm_bl1_3_2_1</t>
    <phoneticPr fontId="4"/>
  </si>
  <si>
    <t>名前変更  scm_bl1_3_3-&gt; scm_bl1_3_2_2</t>
    <phoneticPr fontId="4"/>
  </si>
  <si>
    <t>経緯：
2015/5/1 scm-bl3-2のカメラでf127(シリアル受信失敗)のエラーが発生し画像取
 得が行えないため、
 現場（光源棟RACK:XFEL-NET-NU10）に設置されているカメラ延長器の確認を実施
した。
 目視で確認された症状は延長器の電源LEDランプが通常は緑点灯のところ、緑点
 滅していた。
 延長器に電源を供給するACアダプタを別のものに交換したところ正常に緑点灯し、
この時は仮復旧を果たした。
 調査:
2015/8/7と8/10、ACアダプタの本格的な調査を実施した。
 光源棟北の切替器（xfcamsel-nu10-01）に接続されている延長器のACアダプタの
確認を行ったところ合計２つのACアダプタに異常が発見された。
まず、ACアダプタの出力電圧を疑い、テスターにて測定を行ったところ5.5~6.2V
の間でふら付き安定していないことが判明した。
オシロスコープを用いて安定度を測定した所、添付ファイルのような波形が観測
された。
 故障品②については約１秒周期で電圧が上昇下降を繰り返し、もやはACアダプタ
 としての用を成していない。
 故障品①については、一見正常品と変わらないように見えたが負荷10Ωを接続して
観測すると、周期的な凸波形が観測され過電流保護回路がオートリカバリ－して
 いるように見受けられる。
 対応：
 今後もこのACアダプタを使い続けることによるオペレーションへの不安要素を除
 去する為にTDK製のスイッチング電源（SR60-6 6V,10A)への交換を実施した。
     波形：Field\XFEL\スクリーンモニタGUI\延長器ACアダプタ電圧異常20150807
     2015/7/20の停止期間前のマシン調整の動作試験で調子が悪かったBL3-3はこれで直ると期待される。</t>
    <phoneticPr fontId="4"/>
  </si>
  <si>
    <t>ゲートカメラに交換
\\saclaopr19.spring8.or.jp\common\作業報告\作業報告書\20151221_BL2-0-1_SCMtoGate.xlsx　　　
また、圧空配線が異なっていたためD-sub9の変換ケーブルを作成
ピント調整
CCWリミットを叩く位置でオリジンし原点とした。（オリジンコード12）
Field\XFEL\スクリーンモニタGUI\20151225_BL2_Xmas_Pint-tuing_Gatecamera\</t>
    <phoneticPr fontId="4"/>
  </si>
  <si>
    <t>画像に傷？汚れ？が見られるためターゲットをまた新品に交換。</t>
    <rPh sb="0" eb="2">
      <t>ガゾウ</t>
    </rPh>
    <rPh sb="3" eb="4">
      <t>キズ</t>
    </rPh>
    <rPh sb="5" eb="6">
      <t>ヨゴ</t>
    </rPh>
    <rPh sb="9" eb="10">
      <t>ミ</t>
    </rPh>
    <phoneticPr fontId="4"/>
  </si>
  <si>
    <t>20161111にターゲットスクリーンがはずれ落ち、チャンバー内に立った状態となっていた。デマルケストを止めるボルトが短かったせいか？
(デマルケスト自体はSACLAと同じ)</t>
    <phoneticPr fontId="4"/>
  </si>
  <si>
    <t>SCSS+</t>
    <phoneticPr fontId="4"/>
  </si>
  <si>
    <t>BC2_3に設置されているストリークカメラの調整の為、BC2ストレート部にOTR光を挿入するミラー設置
ConfigにはINSERT,CLEAR、LED(OTRレーザー)の入り切りコマンドを追加</t>
    <rPh sb="6" eb="8">
      <t>セッチ</t>
    </rPh>
    <rPh sb="22" eb="24">
      <t>チョウセイ</t>
    </rPh>
    <rPh sb="25" eb="26">
      <t>タメ</t>
    </rPh>
    <rPh sb="35" eb="36">
      <t>ブ</t>
    </rPh>
    <rPh sb="40" eb="41">
      <t>ヒカリ</t>
    </rPh>
    <rPh sb="42" eb="44">
      <t>ソウニュウ</t>
    </rPh>
    <rPh sb="49" eb="51">
      <t>セッチ</t>
    </rPh>
    <rPh sb="86" eb="87">
      <t>イ</t>
    </rPh>
    <rPh sb="88" eb="89">
      <t>キ</t>
    </rPh>
    <rPh sb="95" eb="97">
      <t>ツイカ</t>
    </rPh>
    <phoneticPr fontId="4"/>
  </si>
  <si>
    <t>GATE</t>
    <phoneticPr fontId="4"/>
  </si>
  <si>
    <t>name</t>
    <phoneticPr fontId="4"/>
  </si>
  <si>
    <t>テストスタンドに追加する為、将来要として、name,cnameをフルネームにした。</t>
    <rPh sb="8" eb="10">
      <t>ツイカ</t>
    </rPh>
    <rPh sb="12" eb="13">
      <t>タメ</t>
    </rPh>
    <rPh sb="14" eb="16">
      <t>ショウライ</t>
    </rPh>
    <rPh sb="16" eb="17">
      <t>ヨウ</t>
    </rPh>
    <phoneticPr fontId="4"/>
  </si>
  <si>
    <t>xfel_mon_plc_teststand</t>
    <phoneticPr fontId="4"/>
  </si>
  <si>
    <t>2017/1/27
停止明け</t>
    <rPh sb="10" eb="12">
      <t>テイシ</t>
    </rPh>
    <rPh sb="12" eb="13">
      <t>ア</t>
    </rPh>
    <phoneticPr fontId="4"/>
  </si>
  <si>
    <t>画像に焼けあり</t>
    <rPh sb="0" eb="2">
      <t>ガゾウ</t>
    </rPh>
    <rPh sb="3" eb="4">
      <t>ヤ</t>
    </rPh>
    <phoneticPr fontId="4"/>
  </si>
  <si>
    <t>IRISがオープンできない。手動でOPEN</t>
    <rPh sb="14" eb="16">
      <t>シュドウ</t>
    </rPh>
    <phoneticPr fontId="4"/>
  </si>
  <si>
    <t>切替不能だったが切替器延長期のリブートして復旧</t>
    <rPh sb="0" eb="2">
      <t>キリカエ</t>
    </rPh>
    <rPh sb="2" eb="4">
      <t>フノウ</t>
    </rPh>
    <rPh sb="8" eb="10">
      <t>キリカエ</t>
    </rPh>
    <rPh sb="10" eb="11">
      <t>キ</t>
    </rPh>
    <rPh sb="11" eb="14">
      <t>エンチョウキ</t>
    </rPh>
    <rPh sb="21" eb="23">
      <t>フッキュウ</t>
    </rPh>
    <phoneticPr fontId="4"/>
  </si>
  <si>
    <t>scm-cb15</t>
    <phoneticPr fontId="4"/>
  </si>
  <si>
    <t>カメラ故障の為交換</t>
    <rPh sb="3" eb="5">
      <t>コショウ</t>
    </rPh>
    <rPh sb="6" eb="7">
      <t>タメ</t>
    </rPh>
    <rPh sb="7" eb="9">
      <t>コウカン</t>
    </rPh>
    <phoneticPr fontId="4"/>
  </si>
  <si>
    <t>3段式-&gt;２段式に。Insert1: Target Insert2:CeYAG  -&gt;  Insert1: CeYAG。　Config.tblは変えていないのでコマンドとしてはinsert1を投げる。Insertではない。</t>
    <rPh sb="1" eb="2">
      <t>ダン</t>
    </rPh>
    <rPh sb="2" eb="3">
      <t>シキ</t>
    </rPh>
    <rPh sb="6" eb="8">
      <t>ダンシキ</t>
    </rPh>
    <rPh sb="72" eb="73">
      <t>カ</t>
    </rPh>
    <rPh sb="96" eb="97">
      <t>ナ</t>
    </rPh>
    <phoneticPr fontId="4"/>
  </si>
  <si>
    <t>2017/1/1の冬季停止にPLCをxfel_mon_plc_bl1_1 -&gt; xfel_mon_plc_bl1_preid</t>
    <phoneticPr fontId="4"/>
  </si>
  <si>
    <t>CCD stage  1.12 -&gt; 3.0     校正ターゲットを見て調整した</t>
    <phoneticPr fontId="4"/>
  </si>
  <si>
    <t>CCD stage  90.4 -&gt; 75.5     校正ターゲットを見て調整した</t>
    <phoneticPr fontId="4"/>
  </si>
  <si>
    <t>CCD stage  87.992 -&gt;  77.5     校正ターゲットを見て調整した</t>
    <phoneticPr fontId="4"/>
  </si>
  <si>
    <t>CCD stage  33.488 -&gt; 28.0     校正ターゲットを見て調整した</t>
    <phoneticPr fontId="4"/>
  </si>
  <si>
    <t>scm-bl2-4</t>
    <phoneticPr fontId="4"/>
  </si>
  <si>
    <t>CCD stage  26.352 -&gt; 17.0    校正ターゲットを見て調整した</t>
    <phoneticPr fontId="4"/>
  </si>
  <si>
    <t>CCD stage  9.54 -&gt; 9.0    校正ターゲットを見て調整した</t>
    <phoneticPr fontId="4"/>
  </si>
  <si>
    <t>BTA組替えに伴い移動</t>
    <rPh sb="3" eb="4">
      <t>ク</t>
    </rPh>
    <rPh sb="4" eb="5">
      <t>カ</t>
    </rPh>
    <rPh sb="7" eb="8">
      <t>トモナ</t>
    </rPh>
    <rPh sb="9" eb="11">
      <t>イドウ</t>
    </rPh>
    <phoneticPr fontId="4"/>
  </si>
  <si>
    <t>BTA組替えに伴い移動したため、画像中心を再算出。校正ターゲットの中心から</t>
    <rPh sb="3" eb="4">
      <t>ク</t>
    </rPh>
    <rPh sb="4" eb="5">
      <t>カ</t>
    </rPh>
    <rPh sb="7" eb="8">
      <t>トモナ</t>
    </rPh>
    <rPh sb="9" eb="11">
      <t>イドウ</t>
    </rPh>
    <rPh sb="16" eb="18">
      <t>ガゾウ</t>
    </rPh>
    <rPh sb="18" eb="20">
      <t>チュウシン</t>
    </rPh>
    <rPh sb="21" eb="22">
      <t>サイ</t>
    </rPh>
    <rPh sb="22" eb="24">
      <t>サンシュツ</t>
    </rPh>
    <rPh sb="25" eb="27">
      <t>コウセイ</t>
    </rPh>
    <rPh sb="33" eb="35">
      <t>チュウシン</t>
    </rPh>
    <phoneticPr fontId="4"/>
  </si>
  <si>
    <t xml:space="preserve">
</t>
    <phoneticPr fontId="4"/>
  </si>
  <si>
    <t>LED付けても無反応だったが現場で懐中電灯を照らすと反応があった</t>
    <rPh sb="7" eb="8">
      <t>ム</t>
    </rPh>
    <phoneticPr fontId="4"/>
  </si>
  <si>
    <t>※停止期間にBL1シリーズ配線替
SCSS+用画像サーバーで収集したことによる
切替不能　f127
BC2 &lt;-&gt; BL1間の光ケーブルがストレートになっていた。本来はクロスにするべき。</t>
    <phoneticPr fontId="4"/>
  </si>
  <si>
    <t>scm-bl1-preid-2</t>
    <phoneticPr fontId="4"/>
  </si>
  <si>
    <t>倍率縮小</t>
    <phoneticPr fontId="4"/>
  </si>
  <si>
    <t>光軸修正、倍率縮小</t>
    <phoneticPr fontId="4"/>
  </si>
  <si>
    <t>NDフィルタ追加、焼けが見られるためカメラ交換</t>
    <phoneticPr fontId="4"/>
  </si>
  <si>
    <t>NDフィルタ追加</t>
    <phoneticPr fontId="4"/>
  </si>
  <si>
    <t>Kickerのノイズの影響を受ける。
カメラリンク延長器（300L：STP 延長器）の後段にカメラリンク・光延長器（155：光ファイバー）を挿入した。仮処置で、ノイズ対策は3月までに検討する。　</t>
    <phoneticPr fontId="4"/>
  </si>
  <si>
    <t>scm-s-inj-238-1</t>
    <phoneticPr fontId="4"/>
  </si>
  <si>
    <t>scm-s-inj-238-1</t>
    <phoneticPr fontId="4"/>
  </si>
  <si>
    <t>reference</t>
    <phoneticPr fontId="4"/>
  </si>
  <si>
    <t>category</t>
    <phoneticPr fontId="4"/>
  </si>
  <si>
    <t>T</t>
    <phoneticPr fontId="4"/>
  </si>
  <si>
    <t>CLEARしたときにCLEAR位置とINSERT位置の両方のスイッチを叩いたままになっていた。 複数回、INSERT、CLEAR操作を繰り返すことでINSERT位置のスイッチを解除することが出来た</t>
    <phoneticPr fontId="4"/>
  </si>
  <si>
    <t>画像取得中、濃淡が周期的に変わる。チャージアップか？</t>
    <rPh sb="0" eb="2">
      <t>ガゾウ</t>
    </rPh>
    <rPh sb="2" eb="4">
      <t>シュトク</t>
    </rPh>
    <rPh sb="4" eb="5">
      <t>チュウ</t>
    </rPh>
    <rPh sb="6" eb="8">
      <t>ノウタン</t>
    </rPh>
    <rPh sb="9" eb="12">
      <t>シュウキテキ</t>
    </rPh>
    <rPh sb="13" eb="14">
      <t>カ</t>
    </rPh>
    <phoneticPr fontId="4"/>
  </si>
  <si>
    <t>T</t>
    <phoneticPr fontId="4"/>
  </si>
  <si>
    <t>T</t>
    <phoneticPr fontId="4"/>
  </si>
  <si>
    <t>T</t>
    <phoneticPr fontId="4"/>
  </si>
  <si>
    <t>scm-s-bc1-2</t>
    <phoneticPr fontId="4"/>
  </si>
  <si>
    <t>インサートできない？画像が見れない -&gt;  CCD交換で復旧</t>
    <rPh sb="10" eb="12">
      <t>ガゾウ</t>
    </rPh>
    <rPh sb="13" eb="14">
      <t>ミ</t>
    </rPh>
    <rPh sb="25" eb="27">
      <t>コウカン</t>
    </rPh>
    <rPh sb="28" eb="30">
      <t>フッキュウ</t>
    </rPh>
    <phoneticPr fontId="4"/>
  </si>
  <si>
    <t>scm-bl1-dump-1</t>
    <phoneticPr fontId="4"/>
  </si>
  <si>
    <t>scm-bl1-dump-1</t>
    <phoneticPr fontId="4"/>
  </si>
  <si>
    <t>scm-bl1-dump-2</t>
    <phoneticPr fontId="4"/>
  </si>
  <si>
    <t>scm-bl2-dump-1</t>
    <phoneticPr fontId="4"/>
  </si>
  <si>
    <t>scm-bl2-dump-2</t>
    <phoneticPr fontId="4"/>
  </si>
  <si>
    <t>scm-bl3-dump-1</t>
    <phoneticPr fontId="4"/>
  </si>
  <si>
    <t>scm-bl3-dump-2</t>
    <phoneticPr fontId="4"/>
  </si>
  <si>
    <t>PixSize更新2017/3/2の松原氏よりのメール</t>
    <rPh sb="7" eb="9">
      <t>コウシン</t>
    </rPh>
    <rPh sb="18" eb="21">
      <t>マツバラシ</t>
    </rPh>
    <phoneticPr fontId="4"/>
  </si>
  <si>
    <t>pixSize_x[um/pix]</t>
    <phoneticPr fontId="4"/>
  </si>
  <si>
    <t>pixSize_y[um/pix]</t>
    <phoneticPr fontId="4"/>
  </si>
  <si>
    <t>xfel_mon_scm_bl2_0_1</t>
    <phoneticPr fontId="4"/>
  </si>
  <si>
    <t>xfel_mon_scm_teststand</t>
    <phoneticPr fontId="4"/>
  </si>
  <si>
    <t>2017/3/28
停止明け</t>
    <rPh sb="10" eb="12">
      <t>テイシ</t>
    </rPh>
    <rPh sb="12" eb="13">
      <t>ア</t>
    </rPh>
    <phoneticPr fontId="4"/>
  </si>
  <si>
    <t>LED無反応</t>
  </si>
  <si>
    <t>LED無反応</t>
    <phoneticPr fontId="4"/>
  </si>
  <si>
    <t>LED無反応　カメラ故障の為、交換 カメラ裏のLEDオレンジ</t>
    <rPh sb="10" eb="12">
      <t>コショウ</t>
    </rPh>
    <rPh sb="13" eb="14">
      <t>タメ</t>
    </rPh>
    <rPh sb="15" eb="17">
      <t>コウカン</t>
    </rPh>
    <rPh sb="21" eb="22">
      <t>ウラ</t>
    </rPh>
    <phoneticPr fontId="4"/>
  </si>
  <si>
    <t>切替不能だったが切替器延長期のリブートして復旧、LED無反応</t>
    <rPh sb="0" eb="2">
      <t>キリカエ</t>
    </rPh>
    <rPh sb="2" eb="4">
      <t>フノウ</t>
    </rPh>
    <rPh sb="8" eb="10">
      <t>キリカエ</t>
    </rPh>
    <rPh sb="10" eb="11">
      <t>キ</t>
    </rPh>
    <rPh sb="11" eb="14">
      <t>エンチョウキ</t>
    </rPh>
    <rPh sb="21" eb="23">
      <t>フッキュウ</t>
    </rPh>
    <phoneticPr fontId="4"/>
  </si>
  <si>
    <t>LED無反応</t>
    <phoneticPr fontId="4"/>
  </si>
  <si>
    <t>LED無反応</t>
    <rPh sb="3" eb="4">
      <t>ム</t>
    </rPh>
    <rPh sb="4" eb="6">
      <t>ハンノウ</t>
    </rPh>
    <phoneticPr fontId="4"/>
  </si>
  <si>
    <t>LED無反応</t>
    <phoneticPr fontId="4"/>
  </si>
  <si>
    <t>s-scm-bc2-3</t>
    <phoneticPr fontId="4"/>
  </si>
  <si>
    <t>ストリーク　NDフィルタ追加</t>
    <rPh sb="12" eb="14">
      <t>ツイカ</t>
    </rPh>
    <phoneticPr fontId="4"/>
  </si>
  <si>
    <t>ストリークGUI</t>
    <phoneticPr fontId="4"/>
  </si>
  <si>
    <t>積算した画像がサチッた様に見える
原因は積算したデータの型がshortだったため。Longの仮データ箱を用意して積算数で割ったものをSumに入れることにした</t>
    <rPh sb="0" eb="2">
      <t>セキサン</t>
    </rPh>
    <rPh sb="4" eb="6">
      <t>ガゾウ</t>
    </rPh>
    <rPh sb="11" eb="12">
      <t>ヨウ</t>
    </rPh>
    <rPh sb="13" eb="14">
      <t>ミ</t>
    </rPh>
    <rPh sb="17" eb="19">
      <t>ゲンイン</t>
    </rPh>
    <rPh sb="20" eb="22">
      <t>セキサン</t>
    </rPh>
    <rPh sb="28" eb="29">
      <t>カタ</t>
    </rPh>
    <rPh sb="46" eb="47">
      <t>カリ</t>
    </rPh>
    <rPh sb="50" eb="51">
      <t>ハコ</t>
    </rPh>
    <rPh sb="52" eb="54">
      <t>ヨウイ</t>
    </rPh>
    <rPh sb="56" eb="58">
      <t>セキサン</t>
    </rPh>
    <rPh sb="58" eb="59">
      <t>スウ</t>
    </rPh>
    <rPh sb="60" eb="61">
      <t>ワ</t>
    </rPh>
    <rPh sb="70" eb="71">
      <t>イ</t>
    </rPh>
    <phoneticPr fontId="4"/>
  </si>
  <si>
    <t>2017/4/2頃からCCDステージResolve open errorがポツポツでる。2016/3/23にモータードライバ1番のつまみを下げ、絶対値を読まないように対処して解消したはずだが</t>
    <rPh sb="8" eb="9">
      <t>ゴロ</t>
    </rPh>
    <rPh sb="83" eb="85">
      <t>タイショ</t>
    </rPh>
    <phoneticPr fontId="4"/>
  </si>
  <si>
    <t>xts_mon_scm_1_iccd</t>
    <phoneticPr fontId="4"/>
  </si>
  <si>
    <t>scm_s_bc2_3</t>
    <phoneticPr fontId="4"/>
  </si>
  <si>
    <t>scm_s_bc2_3</t>
    <phoneticPr fontId="4"/>
  </si>
  <si>
    <t>開発中100fsの試験　詳細はSCSS+のログノート</t>
    <rPh sb="0" eb="2">
      <t>カイハツ</t>
    </rPh>
    <rPh sb="2" eb="3">
      <t>チュウ</t>
    </rPh>
    <rPh sb="9" eb="11">
      <t>シケン</t>
    </rPh>
    <rPh sb="12" eb="14">
      <t>ショウサイ</t>
    </rPh>
    <phoneticPr fontId="4"/>
  </si>
  <si>
    <t>scm-bl1-0-3</t>
    <phoneticPr fontId="4"/>
  </si>
  <si>
    <t>scm-bl2-0-2</t>
    <phoneticPr fontId="4"/>
  </si>
  <si>
    <t>scm-inj-238-1</t>
    <phoneticPr fontId="4"/>
  </si>
  <si>
    <t>scm-inj-238-1</t>
    <phoneticPr fontId="4"/>
  </si>
  <si>
    <t>scm-s-bc1-2</t>
    <phoneticPr fontId="4"/>
  </si>
  <si>
    <t>scm-s-bc1-2</t>
    <phoneticPr fontId="4"/>
  </si>
  <si>
    <t>scm-s-bc1-1</t>
    <phoneticPr fontId="4"/>
  </si>
  <si>
    <t>scm-bl2-0-2</t>
    <phoneticPr fontId="4"/>
  </si>
  <si>
    <t>scm_bl2_0_2</t>
    <phoneticPr fontId="4"/>
  </si>
  <si>
    <t>scm-bl1-0-2</t>
    <phoneticPr fontId="4"/>
  </si>
  <si>
    <t>scm-bl1-0-3</t>
  </si>
  <si>
    <t>scm-bl1-0-4</t>
    <phoneticPr fontId="4"/>
  </si>
  <si>
    <t>scm_bl1_0_2</t>
  </si>
  <si>
    <t>scm_bl1_0_3</t>
  </si>
  <si>
    <t>scm-bl1-preid-2</t>
    <phoneticPr fontId="4"/>
  </si>
  <si>
    <t>旧scm_bl1_predump_1, 2014/8/4名前変更 旧bl1-0-2, YAG 化の予定,  2017夏名称変更</t>
    <rPh sb="0" eb="1">
      <t>キュウ</t>
    </rPh>
    <rPh sb="28" eb="30">
      <t>ナマエ</t>
    </rPh>
    <rPh sb="30" eb="32">
      <t>ヘンコウ</t>
    </rPh>
    <rPh sb="33" eb="34">
      <t>キュウ</t>
    </rPh>
    <rPh sb="58" eb="59">
      <t>ナツ</t>
    </rPh>
    <rPh sb="59" eb="61">
      <t>メイショウ</t>
    </rPh>
    <rPh sb="61" eb="63">
      <t>ヘンコウ</t>
    </rPh>
    <phoneticPr fontId="4"/>
  </si>
  <si>
    <t>2014/8/4名前変更 旧bl1-0-3, YAG 化の予定　,  2017夏名称変更</t>
    <phoneticPr fontId="4"/>
  </si>
  <si>
    <t>2017夏追加</t>
    <rPh sb="5" eb="7">
      <t>ツイカ</t>
    </rPh>
    <phoneticPr fontId="4"/>
  </si>
  <si>
    <t>チョッパーコイル0Aでビームを当て続け破損 -&gt; 交換して復旧</t>
    <rPh sb="15" eb="16">
      <t>ア</t>
    </rPh>
    <rPh sb="17" eb="18">
      <t>ツヅ</t>
    </rPh>
    <rPh sb="19" eb="21">
      <t>ハソン</t>
    </rPh>
    <rPh sb="25" eb="27">
      <t>コウカン</t>
    </rPh>
    <rPh sb="29" eb="31">
      <t>フッキュウ</t>
    </rPh>
    <phoneticPr fontId="4"/>
  </si>
  <si>
    <t>scm-bl1-preid-2</t>
    <phoneticPr fontId="4"/>
  </si>
  <si>
    <t>scm_bl1_0_4</t>
    <phoneticPr fontId="4"/>
  </si>
  <si>
    <t>OTR</t>
    <phoneticPr fontId="4"/>
  </si>
  <si>
    <t>scm-bl1-preid-1</t>
    <phoneticPr fontId="4"/>
  </si>
  <si>
    <t>scm-bl1-0-1</t>
    <phoneticPr fontId="4"/>
  </si>
  <si>
    <t>縞模様 　CCD交換して復旧</t>
    <rPh sb="8" eb="10">
      <t>コウカン</t>
    </rPh>
    <rPh sb="12" eb="14">
      <t>フッキュウ</t>
    </rPh>
    <phoneticPr fontId="4"/>
  </si>
  <si>
    <t>延長器をメタルからLANケーブルのものに交換</t>
    <rPh sb="0" eb="2">
      <t>エンチョウ</t>
    </rPh>
    <rPh sb="2" eb="3">
      <t>ウツワ</t>
    </rPh>
    <rPh sb="20" eb="22">
      <t>コウカン</t>
    </rPh>
    <phoneticPr fontId="4"/>
  </si>
  <si>
    <t>scss_mon_plc_bl1_1</t>
  </si>
  <si>
    <t>scss_mon_plc_bl1_0</t>
  </si>
  <si>
    <t>scss_mon_plc_bl1_3</t>
  </si>
  <si>
    <t>scss_mon_plc_bl1_dump</t>
  </si>
  <si>
    <t>名称変更&amp;前方に少し移動　　scm-bl1-preid-1　-&gt; scm-bl1-0-2
延長器をメタルからLANケーブルのものに交換
前方に少し移動
カメラリンク配線は新規に敷設
\\xfelfs-ts\share\SCM\配線図\資料\SCM_BL1_0_2017夏配線変更図.xlsx</t>
    <rPh sb="5" eb="7">
      <t>ゼンポウ</t>
    </rPh>
    <rPh sb="8" eb="9">
      <t>スコ</t>
    </rPh>
    <rPh sb="10" eb="12">
      <t>イドウ</t>
    </rPh>
    <rPh sb="85" eb="87">
      <t>シンキ</t>
    </rPh>
    <rPh sb="88" eb="90">
      <t>フセツ</t>
    </rPh>
    <phoneticPr fontId="4"/>
  </si>
  <si>
    <t>名称変更　　scm-bl1-preid-2　-&gt; scm-bl1-0-4
\\xfelfs-ts\share\SCM\配線図\資料\SCM_BL1_0_2017夏配線変更図.xlsx</t>
    <phoneticPr fontId="4"/>
  </si>
  <si>
    <t>新規追加   2段式(OTR)　ステージなし  カメラリンク配線は旧scm-bl1-preid-1を流用
\\xfelfs-ts\share\SCM\配線図\資料\SCM_BL1_0_2017夏配線変更図.xlsx</t>
    <rPh sb="0" eb="2">
      <t>シンキ</t>
    </rPh>
    <rPh sb="2" eb="4">
      <t>ツイカ</t>
    </rPh>
    <rPh sb="8" eb="10">
      <t>ダンシキ</t>
    </rPh>
    <rPh sb="33" eb="34">
      <t>キュウ</t>
    </rPh>
    <rPh sb="50" eb="52">
      <t>リュウヨウ</t>
    </rPh>
    <phoneticPr fontId="4"/>
  </si>
  <si>
    <t>画像収集はできるがビーム、LED点灯しても変化なし
CCD交換して復旧</t>
    <rPh sb="0" eb="2">
      <t>ガゾウ</t>
    </rPh>
    <rPh sb="2" eb="4">
      <t>シュウシュウ</t>
    </rPh>
    <rPh sb="16" eb="18">
      <t>テントウ</t>
    </rPh>
    <rPh sb="21" eb="23">
      <t>ヘンカ</t>
    </rPh>
    <phoneticPr fontId="4"/>
  </si>
  <si>
    <t>2017/9/7
停止明け</t>
    <rPh sb="9" eb="11">
      <t>テイシ</t>
    </rPh>
    <rPh sb="11" eb="12">
      <t>ア</t>
    </rPh>
    <phoneticPr fontId="4"/>
  </si>
  <si>
    <t>収集不能、カメラ背面LEDがオレンジ点灯
予備が少ないため保留</t>
    <rPh sb="0" eb="2">
      <t>シュウシュウ</t>
    </rPh>
    <rPh sb="2" eb="4">
      <t>フノウ</t>
    </rPh>
    <rPh sb="8" eb="10">
      <t>ハイメン</t>
    </rPh>
    <rPh sb="18" eb="20">
      <t>テントウ</t>
    </rPh>
    <rPh sb="21" eb="23">
      <t>ヨビ</t>
    </rPh>
    <rPh sb="24" eb="25">
      <t>スク</t>
    </rPh>
    <rPh sb="29" eb="31">
      <t>ホリュウ</t>
    </rPh>
    <phoneticPr fontId="4"/>
  </si>
  <si>
    <t>LED現場のブレーカーが切れいていたため入れなおして見えるようになった</t>
    <rPh sb="3" eb="5">
      <t>ゲンバ</t>
    </rPh>
    <rPh sb="12" eb="13">
      <t>キ</t>
    </rPh>
    <rPh sb="20" eb="21">
      <t>イ</t>
    </rPh>
    <rPh sb="26" eb="27">
      <t>ミ</t>
    </rPh>
    <phoneticPr fontId="4"/>
  </si>
  <si>
    <t>LED無反応-&gt;NDでかなり減光しているせい。問題なし</t>
    <rPh sb="14" eb="16">
      <t>ゲンコウ</t>
    </rPh>
    <rPh sb="23" eb="25">
      <t>モンダイ</t>
    </rPh>
    <phoneticPr fontId="4"/>
  </si>
  <si>
    <t>LED自体は点灯するが導入ファイバーが曇っているためほとんど届かない</t>
    <rPh sb="3" eb="5">
      <t>ジタイ</t>
    </rPh>
    <rPh sb="6" eb="8">
      <t>テントウ</t>
    </rPh>
    <rPh sb="11" eb="13">
      <t>ドウニュウ</t>
    </rPh>
    <rPh sb="19" eb="20">
      <t>クモ</t>
    </rPh>
    <rPh sb="30" eb="31">
      <t>トド</t>
    </rPh>
    <phoneticPr fontId="4"/>
  </si>
  <si>
    <t>resolve open error
アラーム監視をトラブルに
2017夏季停止に調査した所、モーター自身の問題と判明。モーター(リゾルバーごと)を交換して様子見</t>
    <rPh sb="36" eb="38">
      <t>カキ</t>
    </rPh>
    <rPh sb="38" eb="40">
      <t>テイシ</t>
    </rPh>
    <rPh sb="41" eb="43">
      <t>チョウサ</t>
    </rPh>
    <rPh sb="45" eb="46">
      <t>トコロ</t>
    </rPh>
    <rPh sb="51" eb="53">
      <t>ジシン</t>
    </rPh>
    <rPh sb="54" eb="56">
      <t>モンダイ</t>
    </rPh>
    <rPh sb="57" eb="59">
      <t>ハンメイ</t>
    </rPh>
    <rPh sb="74" eb="76">
      <t>コウカン</t>
    </rPh>
    <rPh sb="78" eb="81">
      <t>ヨウスミ</t>
    </rPh>
    <phoneticPr fontId="4"/>
  </si>
  <si>
    <t>ここはゲートカメラでNDフィルタがたっぷり入っているのでLEDのOFF/ONでは画像は反応しない</t>
    <rPh sb="21" eb="22">
      <t>ハイ</t>
    </rPh>
    <rPh sb="40" eb="42">
      <t>ガゾウ</t>
    </rPh>
    <rPh sb="43" eb="45">
      <t>ハンノウ</t>
    </rPh>
    <phoneticPr fontId="4"/>
  </si>
  <si>
    <t>scm-s-bc2-3</t>
    <phoneticPr fontId="4"/>
  </si>
  <si>
    <t>ここはストリーク
INSETしたあとCLEARできなくなり、アラームが付いた。何回か試したら抜けた。</t>
    <rPh sb="35" eb="36">
      <t>ツ</t>
    </rPh>
    <rPh sb="39" eb="41">
      <t>ナンカイ</t>
    </rPh>
    <rPh sb="42" eb="43">
      <t>タメ</t>
    </rPh>
    <rPh sb="46" eb="47">
      <t>ヌ</t>
    </rPh>
    <phoneticPr fontId="4"/>
  </si>
  <si>
    <t>scm-bl2-0-1</t>
    <phoneticPr fontId="4"/>
  </si>
  <si>
    <t>ゲートカメラ　タイミングは調整したが画像がノイジーなのでカメラ故障か</t>
    <rPh sb="13" eb="15">
      <t>チョウセイ</t>
    </rPh>
    <rPh sb="18" eb="20">
      <t>ガゾウ</t>
    </rPh>
    <rPh sb="31" eb="33">
      <t>コショウ</t>
    </rPh>
    <phoneticPr fontId="4"/>
  </si>
  <si>
    <t>ゲートカメラストリークカメラ設定.xlsx</t>
    <phoneticPr fontId="4"/>
  </si>
  <si>
    <t>新設カメラ画像確認　良好</t>
    <rPh sb="0" eb="2">
      <t>シンセツ</t>
    </rPh>
    <rPh sb="5" eb="7">
      <t>ガゾウ</t>
    </rPh>
    <rPh sb="7" eb="9">
      <t>カクニン</t>
    </rPh>
    <rPh sb="10" eb="12">
      <t>リョウコウ</t>
    </rPh>
    <phoneticPr fontId="4"/>
  </si>
  <si>
    <t>scm-rfdef</t>
    <phoneticPr fontId="4"/>
  </si>
  <si>
    <t>scm-rfdef</t>
    <phoneticPr fontId="4"/>
  </si>
  <si>
    <t>画像がノイジーなのでカメラ故障か  トリガーが合っていなかった</t>
    <rPh sb="23" eb="24">
      <t>ア</t>
    </rPh>
    <phoneticPr fontId="4"/>
  </si>
  <si>
    <t>scm-cb13</t>
    <phoneticPr fontId="4"/>
  </si>
  <si>
    <t>scm-cb17</t>
    <phoneticPr fontId="4"/>
  </si>
  <si>
    <t>default_tdu</t>
    <phoneticPr fontId="4"/>
  </si>
  <si>
    <t>default_ss</t>
    <phoneticPr fontId="4"/>
  </si>
  <si>
    <t>BC1TDU最適なタイミングが見つかる、ピント調整</t>
    <rPh sb="6" eb="8">
      <t>サイテキ</t>
    </rPh>
    <rPh sb="15" eb="16">
      <t>ミ</t>
    </rPh>
    <rPh sb="23" eb="25">
      <t>チョウセイ</t>
    </rPh>
    <phoneticPr fontId="4"/>
  </si>
  <si>
    <t>BC1TDU最適なタイミングが見つかる</t>
    <rPh sb="6" eb="8">
      <t>サイテキ</t>
    </rPh>
    <rPh sb="15" eb="16">
      <t>ミ</t>
    </rPh>
    <phoneticPr fontId="4"/>
  </si>
  <si>
    <t>全画素真っ赤    CCD交換して復旧2017/10/23</t>
    <rPh sb="0" eb="1">
      <t>ゼン</t>
    </rPh>
    <rPh sb="1" eb="3">
      <t>ガソ</t>
    </rPh>
    <rPh sb="3" eb="4">
      <t>マ</t>
    </rPh>
    <rPh sb="5" eb="6">
      <t>カ</t>
    </rPh>
    <rPh sb="13" eb="15">
      <t>コウカン</t>
    </rPh>
    <rPh sb="17" eb="19">
      <t>フッキュウ</t>
    </rPh>
    <phoneticPr fontId="4"/>
  </si>
  <si>
    <t>収集不能　　　　　CCD交換して復旧2017/10/23</t>
    <rPh sb="0" eb="2">
      <t>シュウシュウ</t>
    </rPh>
    <rPh sb="2" eb="4">
      <t>フノウ</t>
    </rPh>
    <phoneticPr fontId="4"/>
  </si>
  <si>
    <t>画像取得不能</t>
    <rPh sb="0" eb="2">
      <t>ガゾウ</t>
    </rPh>
    <rPh sb="2" eb="4">
      <t>シュトク</t>
    </rPh>
    <rPh sb="4" eb="6">
      <t>フノウ</t>
    </rPh>
    <phoneticPr fontId="4"/>
  </si>
  <si>
    <t>2018/1/12
停止明け</t>
    <rPh sb="10" eb="12">
      <t>テイシ</t>
    </rPh>
    <rPh sb="12" eb="13">
      <t>ア</t>
    </rPh>
    <phoneticPr fontId="4"/>
  </si>
  <si>
    <t>切替不能だったが収納部ショートラック内の延長器をOFF/ONして復旧</t>
    <rPh sb="0" eb="2">
      <t>キリカエ</t>
    </rPh>
    <rPh sb="2" eb="4">
      <t>フノウ</t>
    </rPh>
    <rPh sb="8" eb="10">
      <t>シュウノウ</t>
    </rPh>
    <rPh sb="10" eb="11">
      <t>ブ</t>
    </rPh>
    <rPh sb="18" eb="19">
      <t>ナイ</t>
    </rPh>
    <rPh sb="20" eb="22">
      <t>エンチョウ</t>
    </rPh>
    <rPh sb="22" eb="23">
      <t>ウツワ</t>
    </rPh>
    <rPh sb="32" eb="34">
      <t>フッキュウ</t>
    </rPh>
    <phoneticPr fontId="4"/>
  </si>
  <si>
    <t>倍率変更の為、架台ごと交換
CCDステージはモーターが非力で動かすとすぐSTEP OUTするので動かせない
35 -&gt; 3.89um/pix
0.18-&gt; 3.67倍</t>
    <rPh sb="0" eb="2">
      <t>バイリツ</t>
    </rPh>
    <rPh sb="2" eb="4">
      <t>ヘンコウ</t>
    </rPh>
    <rPh sb="5" eb="6">
      <t>タメ</t>
    </rPh>
    <rPh sb="7" eb="9">
      <t>カダイ</t>
    </rPh>
    <rPh sb="11" eb="13">
      <t>コウカン</t>
    </rPh>
    <rPh sb="27" eb="29">
      <t>ヒリキ</t>
    </rPh>
    <rPh sb="30" eb="31">
      <t>ウゴ</t>
    </rPh>
    <rPh sb="48" eb="49">
      <t>ウゴ</t>
    </rPh>
    <rPh sb="82" eb="83">
      <t>バイ</t>
    </rPh>
    <phoneticPr fontId="4"/>
  </si>
  <si>
    <t>scm-bl2-1</t>
    <phoneticPr fontId="4"/>
  </si>
  <si>
    <t>scm-bl2-1</t>
    <phoneticPr fontId="4"/>
  </si>
  <si>
    <t>BC1 TDU Delay変更</t>
    <phoneticPr fontId="4"/>
  </si>
  <si>
    <t>このカメラを選択すると他に影響し全滅する。年度末に延長器交換予定</t>
    <rPh sb="6" eb="8">
      <t>センタク</t>
    </rPh>
    <rPh sb="11" eb="12">
      <t>ホカ</t>
    </rPh>
    <rPh sb="13" eb="15">
      <t>エイキョウ</t>
    </rPh>
    <rPh sb="16" eb="18">
      <t>ゼンメツ</t>
    </rPh>
    <phoneticPr fontId="4"/>
  </si>
  <si>
    <t>BC1 TDU Delay変更　松原メール2018/2/21</t>
    <rPh sb="16" eb="18">
      <t>マツバラ</t>
    </rPh>
    <phoneticPr fontId="4"/>
  </si>
  <si>
    <t>scm-bl3-0-2</t>
    <phoneticPr fontId="4"/>
  </si>
  <si>
    <t>カメラ焼け</t>
    <rPh sb="3" eb="4">
      <t>ヤ</t>
    </rPh>
    <phoneticPr fontId="4"/>
  </si>
  <si>
    <t>BC1 TDU Delay変更　</t>
    <phoneticPr fontId="4"/>
  </si>
  <si>
    <t>ND2.0 のフィルターを次に挿入する</t>
    <rPh sb="13" eb="14">
      <t>ツギ</t>
    </rPh>
    <rPh sb="15" eb="17">
      <t>ソウニュウ</t>
    </rPh>
    <phoneticPr fontId="49"/>
  </si>
  <si>
    <t>ND3.0 から ND2.0へ変更</t>
    <rPh sb="15" eb="17">
      <t>ヘンコウ</t>
    </rPh>
    <phoneticPr fontId="49"/>
  </si>
  <si>
    <t>ND2.0 のフィルターを次に挿入する CCDの位置は暫定</t>
    <rPh sb="13" eb="14">
      <t>ツギ</t>
    </rPh>
    <rPh sb="15" eb="17">
      <t>ソウニュウ</t>
    </rPh>
    <phoneticPr fontId="49"/>
  </si>
  <si>
    <t>ND1.0</t>
    <phoneticPr fontId="49"/>
  </si>
  <si>
    <t>ND2.0 から ND1.0へ変更</t>
    <rPh sb="15" eb="17">
      <t>ヘンコウ</t>
    </rPh>
    <phoneticPr fontId="49"/>
  </si>
  <si>
    <t>scm-bl3-4</t>
    <phoneticPr fontId="4"/>
  </si>
  <si>
    <t>ND  10-&gt; 1%</t>
    <phoneticPr fontId="4"/>
  </si>
  <si>
    <t>BC1 TDU Delay変更　 3687625
カメラ少し焼け
CCDピント調整 -7.4mm</t>
    <rPh sb="13" eb="15">
      <t>ヘンコウ</t>
    </rPh>
    <rPh sb="28" eb="29">
      <t>スコ</t>
    </rPh>
    <rPh sb="30" eb="31">
      <t>ヤ</t>
    </rPh>
    <rPh sb="39" eb="41">
      <t>チョウセイ</t>
    </rPh>
    <phoneticPr fontId="4"/>
  </si>
  <si>
    <t>scm-bl3-2</t>
    <phoneticPr fontId="4"/>
  </si>
  <si>
    <t>scm-bl3-1</t>
    <phoneticPr fontId="4"/>
  </si>
  <si>
    <t>BC1 TDU Delay変更　 3687638
CCDピント調整  -11.0mm</t>
    <phoneticPr fontId="4"/>
  </si>
  <si>
    <t>BC1 TDU Delay変更　 3687620
CCDピント調整   -80.8mm</t>
    <phoneticPr fontId="4"/>
  </si>
  <si>
    <t>CCD故障  CCD交換したが復旧せず。2018/3/5に延長器交換</t>
    <rPh sb="3" eb="5">
      <t>コショウ</t>
    </rPh>
    <rPh sb="10" eb="12">
      <t>コウカン</t>
    </rPh>
    <rPh sb="15" eb="17">
      <t>フッキュウ</t>
    </rPh>
    <rPh sb="29" eb="31">
      <t>エンチョウ</t>
    </rPh>
    <rPh sb="31" eb="32">
      <t>ウツワ</t>
    </rPh>
    <rPh sb="32" eb="34">
      <t>コウカン</t>
    </rPh>
    <phoneticPr fontId="4"/>
  </si>
  <si>
    <t>延長器交換して復旧</t>
    <rPh sb="0" eb="2">
      <t>エンチョウ</t>
    </rPh>
    <rPh sb="2" eb="3">
      <t>ウツワ</t>
    </rPh>
    <rPh sb="3" eb="5">
      <t>コウカン</t>
    </rPh>
    <rPh sb="7" eb="9">
      <t>フッキュウ</t>
    </rPh>
    <phoneticPr fontId="4"/>
  </si>
  <si>
    <t>延長器交換したが症状変わらず</t>
    <rPh sb="0" eb="2">
      <t>エンチョウ</t>
    </rPh>
    <rPh sb="2" eb="3">
      <t>ウツワ</t>
    </rPh>
    <rPh sb="3" eb="5">
      <t>コウカン</t>
    </rPh>
    <rPh sb="8" eb="10">
      <t>ショウジョウ</t>
    </rPh>
    <rPh sb="10" eb="11">
      <t>カ</t>
    </rPh>
    <phoneticPr fontId="4"/>
  </si>
  <si>
    <t>勝手に動きSTEP OUTエラー発生</t>
    <rPh sb="0" eb="2">
      <t>カッテ</t>
    </rPh>
    <rPh sb="3" eb="4">
      <t>ウゴ</t>
    </rPh>
    <rPh sb="16" eb="18">
      <t>ハッセイ</t>
    </rPh>
    <phoneticPr fontId="4"/>
  </si>
  <si>
    <t>カメラ故障　交換して復旧</t>
    <rPh sb="3" eb="5">
      <t>コショウ</t>
    </rPh>
    <rPh sb="6" eb="8">
      <t>コウカン</t>
    </rPh>
    <rPh sb="10" eb="12">
      <t>フッキュウ</t>
    </rPh>
    <phoneticPr fontId="4"/>
  </si>
  <si>
    <t>収集不能　延長期裏LED赤点灯</t>
    <rPh sb="0" eb="2">
      <t>シュウシュウ</t>
    </rPh>
    <rPh sb="2" eb="4">
      <t>フノウ</t>
    </rPh>
    <rPh sb="5" eb="8">
      <t>エンチョウキ</t>
    </rPh>
    <rPh sb="8" eb="9">
      <t>ウラ</t>
    </rPh>
    <rPh sb="12" eb="13">
      <t>アカ</t>
    </rPh>
    <rPh sb="13" eb="15">
      <t>テントウ</t>
    </rPh>
    <phoneticPr fontId="4"/>
  </si>
  <si>
    <t>GO2400</t>
    <phoneticPr fontId="4"/>
  </si>
  <si>
    <t>test-go2400mpmcl</t>
    <phoneticPr fontId="4"/>
  </si>
  <si>
    <t>HDFのエラー発生</t>
    <rPh sb="7" eb="9">
      <t>ハッセイ</t>
    </rPh>
    <phoneticPr fontId="4"/>
  </si>
  <si>
    <t>このカメラを選択するとエラー発生</t>
    <rPh sb="6" eb="8">
      <t>センタク</t>
    </rPh>
    <rPh sb="14" eb="16">
      <t>ハッセイ</t>
    </rPh>
    <phoneticPr fontId="4"/>
  </si>
  <si>
    <t>scm-ms-1</t>
    <phoneticPr fontId="4"/>
  </si>
  <si>
    <t>scm-ms-1</t>
    <phoneticPr fontId="4"/>
  </si>
  <si>
    <t>scm-bl3-4</t>
    <phoneticPr fontId="4"/>
  </si>
  <si>
    <t>scm-bl3-4</t>
    <phoneticPr fontId="4"/>
  </si>
  <si>
    <t>真空作業で一時取外したため、ピント再調整、ピクセルサイズ求めなおした。
画像中心はだいたい</t>
    <rPh sb="0" eb="2">
      <t>シンクウ</t>
    </rPh>
    <rPh sb="2" eb="4">
      <t>サギョウ</t>
    </rPh>
    <rPh sb="5" eb="7">
      <t>イチジ</t>
    </rPh>
    <rPh sb="7" eb="9">
      <t>トリハズ</t>
    </rPh>
    <rPh sb="17" eb="20">
      <t>サイチョウセイ</t>
    </rPh>
    <rPh sb="28" eb="29">
      <t>モト</t>
    </rPh>
    <rPh sb="36" eb="38">
      <t>ガゾウ</t>
    </rPh>
    <rPh sb="38" eb="40">
      <t>チュウシン</t>
    </rPh>
    <phoneticPr fontId="4"/>
  </si>
  <si>
    <t>scm_bl1_0_1</t>
    <phoneticPr fontId="4"/>
  </si>
  <si>
    <t>モータードライバが軟でCCDステージを動かすほどのトルクがない模様</t>
    <rPh sb="9" eb="10">
      <t>ヤワ</t>
    </rPh>
    <rPh sb="19" eb="20">
      <t>ウゴ</t>
    </rPh>
    <rPh sb="31" eb="33">
      <t>モヨウ</t>
    </rPh>
    <phoneticPr fontId="4"/>
  </si>
  <si>
    <t>xfel_mon_scm_bl2_0_1_iccd</t>
    <phoneticPr fontId="4"/>
  </si>
  <si>
    <t>xfel_mon_scm_bl2_0_1_iccd</t>
    <phoneticPr fontId="4"/>
  </si>
  <si>
    <t>カメラ交換復旧</t>
    <rPh sb="3" eb="5">
      <t>コウカン</t>
    </rPh>
    <rPh sb="5" eb="7">
      <t>フッキュウ</t>
    </rPh>
    <phoneticPr fontId="4"/>
  </si>
  <si>
    <t>画像収集不能　run/init 
原因　run/initする前のparam_camera/～　名に問題があった。これは保存先のディレクトリ名である
収集が遅い　　get_new_imageに1.5秒くらい掛かる</t>
    <rPh sb="0" eb="2">
      <t>ガゾウ</t>
    </rPh>
    <rPh sb="2" eb="4">
      <t>シュウシュウ</t>
    </rPh>
    <rPh sb="4" eb="6">
      <t>フノウ</t>
    </rPh>
    <rPh sb="17" eb="19">
      <t>ゲンイン</t>
    </rPh>
    <rPh sb="30" eb="31">
      <t>マエ</t>
    </rPh>
    <rPh sb="47" eb="48">
      <t>メイ</t>
    </rPh>
    <rPh sb="49" eb="51">
      <t>モンダイ</t>
    </rPh>
    <rPh sb="59" eb="61">
      <t>ホゾン</t>
    </rPh>
    <rPh sb="61" eb="62">
      <t>サキ</t>
    </rPh>
    <rPh sb="69" eb="70">
      <t>メイ</t>
    </rPh>
    <rPh sb="74" eb="76">
      <t>シュウシュウ</t>
    </rPh>
    <rPh sb="77" eb="78">
      <t>オソ</t>
    </rPh>
    <rPh sb="98" eb="99">
      <t>ビョウ</t>
    </rPh>
    <rPh sb="102" eb="103">
      <t>カ</t>
    </rPh>
    <phoneticPr fontId="4"/>
  </si>
  <si>
    <t>INSERT2に出来ない。PLCラダーの問題発覚、修正して復旧</t>
    <rPh sb="8" eb="10">
      <t>デキ</t>
    </rPh>
    <phoneticPr fontId="4"/>
  </si>
  <si>
    <t>f117のエラー
ギャラリーラック内の延長器55JC/TXを交換して復旧</t>
    <rPh sb="30" eb="32">
      <t>コウカン</t>
    </rPh>
    <rPh sb="34" eb="36">
      <t>フッキュウ</t>
    </rPh>
    <phoneticPr fontId="4"/>
  </si>
  <si>
    <t>SCSS+</t>
    <phoneticPr fontId="4"/>
  </si>
  <si>
    <t>SCSS+の55JC光タイプの延長器ディップスイッチ SW1をONにした</t>
    <phoneticPr fontId="4"/>
  </si>
  <si>
    <t>夏季停止にGO-2400のカメラに交換。スペーサーの都合で5mmカメラ位置が高くなったが後日スペーサーを削ってもらう予定
収集不能
・CameraLinkClockFrequency  　74.25MHz -&gt;  37.12MHz     
延長器を介すと収集が不能であったがこれをすると収集が可能になった。しかし、縦縞になる。
Acaptest2では真っ黒
/home/xfel/xfelopr/kenichi/acaptest2で acaptest2 testGO2TAP.ini
原因は55JC光タイプの延長器ディップスイッチ SW1をONにした</t>
    <rPh sb="0" eb="2">
      <t>カキ</t>
    </rPh>
    <rPh sb="2" eb="4">
      <t>テイシ</t>
    </rPh>
    <rPh sb="17" eb="19">
      <t>コウカン</t>
    </rPh>
    <rPh sb="26" eb="28">
      <t>ツゴウ</t>
    </rPh>
    <rPh sb="35" eb="37">
      <t>イチ</t>
    </rPh>
    <rPh sb="38" eb="39">
      <t>タカ</t>
    </rPh>
    <rPh sb="44" eb="46">
      <t>ゴジツ</t>
    </rPh>
    <rPh sb="52" eb="53">
      <t>ケズ</t>
    </rPh>
    <rPh sb="58" eb="60">
      <t>ヨテイ</t>
    </rPh>
    <rPh sb="61" eb="63">
      <t>シュウシュウ</t>
    </rPh>
    <rPh sb="63" eb="65">
      <t>フノウ</t>
    </rPh>
    <rPh sb="176" eb="177">
      <t>マ</t>
    </rPh>
    <rPh sb="178" eb="179">
      <t>クロ</t>
    </rPh>
    <rPh sb="243" eb="245">
      <t>ゲンイン</t>
    </rPh>
    <rPh sb="250" eb="251">
      <t>ヒカリ</t>
    </rPh>
    <phoneticPr fontId="4"/>
  </si>
  <si>
    <t>scm_bl1_0_1</t>
    <phoneticPr fontId="4"/>
  </si>
  <si>
    <t>スクリーンインサートのLSが常時ONになってしまう
LS交換して復旧</t>
    <rPh sb="14" eb="16">
      <t>ジョウジ</t>
    </rPh>
    <rPh sb="28" eb="30">
      <t>コウカン</t>
    </rPh>
    <rPh sb="32" eb="34">
      <t>フッキュウ</t>
    </rPh>
    <phoneticPr fontId="4"/>
  </si>
  <si>
    <t>CCDステージが動かない。軸を固定している六角緩んで滑っていた。六角ボルト締め直して復旧。</t>
    <rPh sb="8" eb="9">
      <t>ウゴ</t>
    </rPh>
    <rPh sb="13" eb="14">
      <t>ジク</t>
    </rPh>
    <rPh sb="15" eb="17">
      <t>コテイ</t>
    </rPh>
    <rPh sb="21" eb="23">
      <t>ロッカク</t>
    </rPh>
    <rPh sb="23" eb="24">
      <t>ユル</t>
    </rPh>
    <rPh sb="26" eb="27">
      <t>スベ</t>
    </rPh>
    <rPh sb="32" eb="34">
      <t>ロッカク</t>
    </rPh>
    <rPh sb="37" eb="38">
      <t>シ</t>
    </rPh>
    <rPh sb="39" eb="40">
      <t>ナオ</t>
    </rPh>
    <rPh sb="42" eb="44">
      <t>フッキュウ</t>
    </rPh>
    <phoneticPr fontId="4"/>
  </si>
  <si>
    <t>NDフィルタ１つ装着</t>
    <rPh sb="8" eb="10">
      <t>ソウチャク</t>
    </rPh>
    <phoneticPr fontId="4"/>
  </si>
  <si>
    <t>scss_mon_fesca_1</t>
    <phoneticPr fontId="4"/>
  </si>
  <si>
    <t>scss_mon_fesca_1</t>
    <phoneticPr fontId="4"/>
  </si>
  <si>
    <t>scm-s-bc2-4</t>
    <phoneticPr fontId="4"/>
  </si>
  <si>
    <t>scm-s-bc2-4</t>
    <phoneticPr fontId="4"/>
  </si>
  <si>
    <t>VME変更　xfmon-xcr-08 -&gt; scmon-xcr-05
名称も変更</t>
    <rPh sb="3" eb="5">
      <t>ヘンコウ</t>
    </rPh>
    <rPh sb="35" eb="37">
      <t>メイショウ</t>
    </rPh>
    <rPh sb="38" eb="40">
      <t>ヘンコウ</t>
    </rPh>
    <phoneticPr fontId="4"/>
  </si>
  <si>
    <t>かねてよりResolve open errが発生していたものを光学架台ごと交換して復旧
ピント再調整
アラーム監視　Trouble -&gt; Monitor　に戻した</t>
    <rPh sb="22" eb="24">
      <t>ハッセイ</t>
    </rPh>
    <rPh sb="31" eb="33">
      <t>コウガク</t>
    </rPh>
    <rPh sb="33" eb="35">
      <t>カダイ</t>
    </rPh>
    <rPh sb="37" eb="39">
      <t>コウカン</t>
    </rPh>
    <rPh sb="41" eb="43">
      <t>フッキュウ</t>
    </rPh>
    <rPh sb="47" eb="50">
      <t>サイチョウセイ</t>
    </rPh>
    <rPh sb="55" eb="57">
      <t>カンシ</t>
    </rPh>
    <rPh sb="78" eb="79">
      <t>モド</t>
    </rPh>
    <phoneticPr fontId="4"/>
  </si>
  <si>
    <t>scm-s-bc2-1</t>
    <phoneticPr fontId="4"/>
  </si>
  <si>
    <t>INSERT2（ターゲット）にてピント再調整</t>
    <rPh sb="19" eb="22">
      <t>サイチョウセイ</t>
    </rPh>
    <phoneticPr fontId="4"/>
  </si>
  <si>
    <t>故障の為交換　QR　-&gt; 0100002426</t>
    <rPh sb="0" eb="2">
      <t>コショウ</t>
    </rPh>
    <rPh sb="3" eb="4">
      <t>タメ</t>
    </rPh>
    <rPh sb="4" eb="6">
      <t>コウカン</t>
    </rPh>
    <phoneticPr fontId="4"/>
  </si>
  <si>
    <t>CV-A10CL -&gt; GO2400</t>
    <phoneticPr fontId="4"/>
  </si>
  <si>
    <t>SACLAも新型カメラGO2400に対応するため
55JC光タイプの延長器ディップスイッチ SW1をONにした
(155は何もしていない)</t>
    <rPh sb="6" eb="8">
      <t>シンガタ</t>
    </rPh>
    <rPh sb="18" eb="20">
      <t>タイオウ</t>
    </rPh>
    <rPh sb="61" eb="62">
      <t>ナニ</t>
    </rPh>
    <phoneticPr fontId="4"/>
  </si>
  <si>
    <t>scm-inj-lb-2</t>
    <phoneticPr fontId="4"/>
  </si>
  <si>
    <t>圧空漏れ、電磁弁交換</t>
    <rPh sb="0" eb="2">
      <t>アックウ</t>
    </rPh>
    <rPh sb="2" eb="3">
      <t>モ</t>
    </rPh>
    <rPh sb="5" eb="8">
      <t>デンジベン</t>
    </rPh>
    <rPh sb="8" eb="10">
      <t>コウカン</t>
    </rPh>
    <phoneticPr fontId="4"/>
  </si>
  <si>
    <t>2019春に追加予定のBTB工事中のため動作未確認</t>
    <rPh sb="4" eb="5">
      <t>ハル</t>
    </rPh>
    <rPh sb="6" eb="8">
      <t>ツイカ</t>
    </rPh>
    <rPh sb="8" eb="10">
      <t>ヨテイ</t>
    </rPh>
    <rPh sb="14" eb="16">
      <t>コウジ</t>
    </rPh>
    <rPh sb="16" eb="17">
      <t>チュウ</t>
    </rPh>
    <rPh sb="20" eb="22">
      <t>ドウサ</t>
    </rPh>
    <rPh sb="22" eb="25">
      <t>ミカクニン</t>
    </rPh>
    <phoneticPr fontId="4"/>
  </si>
  <si>
    <t>切替器の表示がBC1-2に切り替わらない??
カメラの交換</t>
    <phoneticPr fontId="4"/>
  </si>
  <si>
    <t>ND外すが暗い</t>
    <rPh sb="5" eb="6">
      <t>クラ</t>
    </rPh>
    <phoneticPr fontId="4"/>
  </si>
  <si>
    <t>カメラ交換したがダメ。ND外す。ピントがずれていたためCCDステージ動かす</t>
    <rPh sb="3" eb="5">
      <t>コウカン</t>
    </rPh>
    <rPh sb="13" eb="14">
      <t>ハズ</t>
    </rPh>
    <rPh sb="34" eb="35">
      <t>ウゴ</t>
    </rPh>
    <phoneticPr fontId="4"/>
  </si>
  <si>
    <t>カメラ故障　交換して復旧 NDフィルタを追加</t>
    <rPh sb="3" eb="5">
      <t>コショウ</t>
    </rPh>
    <rPh sb="6" eb="8">
      <t>コウカン</t>
    </rPh>
    <rPh sb="10" eb="12">
      <t>フッキュウ</t>
    </rPh>
    <phoneticPr fontId="4"/>
  </si>
  <si>
    <t>運転時にカメラを選択するとラリってしまう件で、延長器送信を収納部内に移設して様子をみる</t>
    <rPh sb="0" eb="2">
      <t>ウンテン</t>
    </rPh>
    <rPh sb="2" eb="3">
      <t>ジ</t>
    </rPh>
    <rPh sb="8" eb="10">
      <t>センタク</t>
    </rPh>
    <rPh sb="20" eb="21">
      <t>ケン</t>
    </rPh>
    <rPh sb="23" eb="25">
      <t>エンチョウ</t>
    </rPh>
    <rPh sb="25" eb="26">
      <t>ウツワ</t>
    </rPh>
    <rPh sb="26" eb="28">
      <t>ソウシン</t>
    </rPh>
    <rPh sb="29" eb="31">
      <t>シュウノウ</t>
    </rPh>
    <rPh sb="31" eb="32">
      <t>ブ</t>
    </rPh>
    <rPh sb="32" eb="33">
      <t>ナイ</t>
    </rPh>
    <rPh sb="34" eb="36">
      <t>イセツ</t>
    </rPh>
    <rPh sb="38" eb="40">
      <t>ヨウス</t>
    </rPh>
    <phoneticPr fontId="4"/>
  </si>
  <si>
    <t>2019/3/22
停止明け</t>
    <rPh sb="10" eb="12">
      <t>テイシ</t>
    </rPh>
    <rPh sb="12" eb="13">
      <t>ア</t>
    </rPh>
    <phoneticPr fontId="4"/>
  </si>
  <si>
    <t>PSI方式に変更</t>
    <rPh sb="3" eb="5">
      <t>ホウシキ</t>
    </rPh>
    <rPh sb="6" eb="8">
      <t>ヘンコウ</t>
    </rPh>
    <phoneticPr fontId="4"/>
  </si>
  <si>
    <t>scm-bl2-predump-1</t>
    <phoneticPr fontId="4"/>
  </si>
  <si>
    <t>default TDU変更</t>
    <rPh sb="11" eb="13">
      <t>ヘンコウ</t>
    </rPh>
    <phoneticPr fontId="4"/>
  </si>
  <si>
    <t>BL2,3ID部</t>
    <rPh sb="7" eb="8">
      <t>ブ</t>
    </rPh>
    <phoneticPr fontId="4"/>
  </si>
  <si>
    <t>ピント調整</t>
    <rPh sb="3" eb="5">
      <t>チョウセイ</t>
    </rPh>
    <phoneticPr fontId="4"/>
  </si>
  <si>
    <t>scm-btb-1-1</t>
    <phoneticPr fontId="4"/>
  </si>
  <si>
    <t>scm_btb_1_1</t>
    <phoneticPr fontId="4"/>
  </si>
  <si>
    <t xml:space="preserve">改修予定2019/4/26メール参照
3段式スクリーン
　　CCDステージを追加
</t>
    <rPh sb="0" eb="2">
      <t>カイシュウ</t>
    </rPh>
    <rPh sb="2" eb="4">
      <t>ヨテイ</t>
    </rPh>
    <rPh sb="16" eb="18">
      <t>サンショウ</t>
    </rPh>
    <phoneticPr fontId="4"/>
  </si>
  <si>
    <t>カメラ交換</t>
    <rPh sb="3" eb="5">
      <t>コウカン</t>
    </rPh>
    <phoneticPr fontId="4"/>
  </si>
  <si>
    <t>ビームが見えない　夏交換予定</t>
    <rPh sb="4" eb="5">
      <t>ミ</t>
    </rPh>
    <rPh sb="9" eb="10">
      <t>ナツ</t>
    </rPh>
    <rPh sb="10" eb="12">
      <t>コウカン</t>
    </rPh>
    <rPh sb="12" eb="14">
      <t>ヨテイ</t>
    </rPh>
    <phoneticPr fontId="4"/>
  </si>
  <si>
    <t>scm-cb13</t>
    <phoneticPr fontId="4"/>
  </si>
  <si>
    <t>SCSS+</t>
    <phoneticPr fontId="4"/>
  </si>
  <si>
    <t>CV-A10CL -&gt; GO2400</t>
    <phoneticPr fontId="4"/>
  </si>
  <si>
    <t>YAG+Hole</t>
    <phoneticPr fontId="4"/>
  </si>
  <si>
    <t>srmon-ssbt1-03</t>
    <phoneticPr fontId="4"/>
  </si>
  <si>
    <t>bl1-0-3, bl1-predump, bl1-dump1,2を除く全てのカメラを新型GO2400に交換
\\saclaopr18.spring8.or.jp\common\作業報告\作業報告書\SACLA\2019年度\報告書\20190805_SCSS_SCM_作業報告書.xlsx</t>
    <rPh sb="34" eb="35">
      <t>ノゾ</t>
    </rPh>
    <rPh sb="36" eb="37">
      <t>スベ</t>
    </rPh>
    <rPh sb="43" eb="45">
      <t>シンガタ</t>
    </rPh>
    <phoneticPr fontId="4"/>
  </si>
  <si>
    <t>None</t>
    <phoneticPr fontId="4"/>
  </si>
  <si>
    <t xml:space="preserve">追加予定2019/4/26メール参照
CCDステージ有り
新カメラGO2400
</t>
    <rPh sb="0" eb="2">
      <t>ツイカ</t>
    </rPh>
    <rPh sb="2" eb="4">
      <t>ヨテイ</t>
    </rPh>
    <rPh sb="16" eb="18">
      <t>サンショウ</t>
    </rPh>
    <rPh sb="26" eb="27">
      <t>ア</t>
    </rPh>
    <rPh sb="29" eb="30">
      <t>シン</t>
    </rPh>
    <phoneticPr fontId="4"/>
  </si>
  <si>
    <t>sr_mon_scm_xsbt_cam_dump_2</t>
    <phoneticPr fontId="4"/>
  </si>
  <si>
    <t>sr_mon_scm_xsbt_cam_dump_4</t>
    <phoneticPr fontId="4"/>
  </si>
  <si>
    <t>sr_mon_scm_xsbt_1</t>
    <phoneticPr fontId="4"/>
  </si>
  <si>
    <t>mmname</t>
    <phoneticPr fontId="4"/>
  </si>
  <si>
    <t>cam_dump_4</t>
    <phoneticPr fontId="4"/>
  </si>
  <si>
    <t>selname</t>
    <phoneticPr fontId="4"/>
  </si>
  <si>
    <t>xsbt_dump_4</t>
    <phoneticPr fontId="4"/>
  </si>
  <si>
    <t>cmd_led</t>
    <phoneticPr fontId="4"/>
  </si>
  <si>
    <t>X</t>
    <phoneticPr fontId="4"/>
  </si>
  <si>
    <t>Y</t>
    <phoneticPr fontId="4"/>
  </si>
  <si>
    <t>距離</t>
    <rPh sb="0" eb="2">
      <t>キョリ</t>
    </rPh>
    <phoneticPr fontId="4"/>
  </si>
  <si>
    <t>px</t>
    <phoneticPr fontId="4"/>
  </si>
  <si>
    <t>um</t>
    <phoneticPr fontId="4"/>
  </si>
  <si>
    <t>PixelSize</t>
    <phoneticPr fontId="4"/>
  </si>
  <si>
    <t>um/px</t>
    <phoneticPr fontId="4"/>
  </si>
  <si>
    <t>YAG</t>
    <phoneticPr fontId="4"/>
  </si>
  <si>
    <t>2019/9/6
停止明け</t>
    <rPh sb="9" eb="12">
      <t>テイシア</t>
    </rPh>
    <phoneticPr fontId="4"/>
  </si>
  <si>
    <t>f117</t>
    <phoneticPr fontId="4"/>
  </si>
  <si>
    <t>画像上部一部のピクセルがおかしい</t>
    <rPh sb="0" eb="2">
      <t>ガゾウ</t>
    </rPh>
    <rPh sb="2" eb="4">
      <t>ジョウブ</t>
    </rPh>
    <rPh sb="4" eb="6">
      <t>イチブ</t>
    </rPh>
    <phoneticPr fontId="4"/>
  </si>
  <si>
    <t>iris故障のため撤去</t>
    <rPh sb="4" eb="6">
      <t>コショウ</t>
    </rPh>
    <rPh sb="9" eb="11">
      <t>テッキョ</t>
    </rPh>
    <phoneticPr fontId="4"/>
  </si>
  <si>
    <t>scm-s-bc1-4</t>
    <phoneticPr fontId="4"/>
  </si>
  <si>
    <t>scm-s-bc2-1</t>
    <phoneticPr fontId="4"/>
  </si>
  <si>
    <t>scm-s-bc2-4</t>
    <phoneticPr fontId="4"/>
  </si>
  <si>
    <t xml:space="preserve">scm-s-cb3-1 </t>
    <phoneticPr fontId="4"/>
  </si>
  <si>
    <t>scm-bl1-0-1</t>
    <phoneticPr fontId="4"/>
  </si>
  <si>
    <t>画像は取得できるが、何も映らない。</t>
    <phoneticPr fontId="4"/>
  </si>
  <si>
    <t>画像は取得できるが、何も映らない。倍率が高いため調整が困難。</t>
    <phoneticPr fontId="4"/>
  </si>
  <si>
    <t>ND強すぎか、シグナルが弱すぎる</t>
    <rPh sb="2" eb="3">
      <t>ツヨ</t>
    </rPh>
    <rPh sb="12" eb="13">
      <t>ヨワ</t>
    </rPh>
    <phoneticPr fontId="4"/>
  </si>
  <si>
    <t>画像異常　縞模様  -&gt; 切替器を交換して復旧</t>
    <rPh sb="5" eb="8">
      <t>シマモヨウ</t>
    </rPh>
    <rPh sb="13" eb="16">
      <t>キリカエキ</t>
    </rPh>
    <rPh sb="17" eb="19">
      <t>コウカン</t>
    </rPh>
    <rPh sb="21" eb="23">
      <t>フッキュウ</t>
    </rPh>
    <phoneticPr fontId="4"/>
  </si>
  <si>
    <t>画像が更新したが、ビームのプロファイルは見えませんでした。</t>
    <phoneticPr fontId="4"/>
  </si>
  <si>
    <t>高さステージがStep out erorr    モータードライバーリブートで復旧</t>
    <rPh sb="39" eb="41">
      <t>フッキュウ</t>
    </rPh>
    <phoneticPr fontId="4"/>
  </si>
  <si>
    <t>高さステージがCCW LIMIT　　　モータードライバーリブートで復旧</t>
    <rPh sb="0" eb="1">
      <t>タカ</t>
    </rPh>
    <phoneticPr fontId="4"/>
  </si>
  <si>
    <t>画像が更新せず　-&gt; なぜか復旧</t>
    <rPh sb="14" eb="16">
      <t>フッキュウ</t>
    </rPh>
    <phoneticPr fontId="4"/>
  </si>
  <si>
    <t>scm-xsbt-13</t>
    <phoneticPr fontId="4"/>
  </si>
  <si>
    <t>切り替え不能　-&gt; カメラ交換して復旧</t>
    <rPh sb="0" eb="1">
      <t>キ</t>
    </rPh>
    <rPh sb="2" eb="3">
      <t>カ</t>
    </rPh>
    <rPh sb="4" eb="6">
      <t>フノウ</t>
    </rPh>
    <rPh sb="13" eb="15">
      <t>コウカン</t>
    </rPh>
    <rPh sb="17" eb="19">
      <t>フッキュウ</t>
    </rPh>
    <phoneticPr fontId="4"/>
  </si>
  <si>
    <t>scm-xsbt-13以降のカメラ見えず　　昨日リング入射時見えなかったMS以降のカメラは復旧。キッカーのノイズか？</t>
    <rPh sb="11" eb="13">
      <t>イコウ</t>
    </rPh>
    <rPh sb="17" eb="18">
      <t>ミ</t>
    </rPh>
    <rPh sb="22" eb="24">
      <t>サクジツ</t>
    </rPh>
    <rPh sb="27" eb="29">
      <t>ニュウシャ</t>
    </rPh>
    <rPh sb="29" eb="30">
      <t>ジ</t>
    </rPh>
    <rPh sb="30" eb="31">
      <t>ミ</t>
    </rPh>
    <rPh sb="38" eb="40">
      <t>イコウ</t>
    </rPh>
    <rPh sb="45" eb="47">
      <t>フッキュウ</t>
    </rPh>
    <phoneticPr fontId="4"/>
  </si>
  <si>
    <t>2020夏予定 SACLA側のSCMでは、スクリーンターゲットを斜めに配置するようにします。</t>
    <rPh sb="4" eb="5">
      <t>ナツ</t>
    </rPh>
    <rPh sb="5" eb="7">
      <t>ヨテイ</t>
    </rPh>
    <phoneticPr fontId="4"/>
  </si>
  <si>
    <t>2020夏予定 SCSS+ 側は、ピント調整とカメラ信号をGig-Eにしたいと考えております。</t>
    <phoneticPr fontId="4"/>
  </si>
  <si>
    <t>画像が更新せず f117 -&gt; 使ってないので復旧しないことにした</t>
    <rPh sb="16" eb="17">
      <t>ツカ</t>
    </rPh>
    <rPh sb="23" eb="25">
      <t>フッキュウ</t>
    </rPh>
    <phoneticPr fontId="4"/>
  </si>
  <si>
    <t>画像が更新せず　f117 -&gt; 100A RXを交換して復旧</t>
    <rPh sb="24" eb="26">
      <t>コウカン</t>
    </rPh>
    <rPh sb="28" eb="30">
      <t>フッキュウ</t>
    </rPh>
    <phoneticPr fontId="4"/>
  </si>
  <si>
    <t>INSERT1 を　YAG穴あきミラー -&gt; YAG穴なしミラーに交換
それに伴い普段使いのターゲット（ScreenInfoのwhich） を　2 -&gt; 1　に変更した
当初の予定ではINSERT2のOTRを穴なしYAGにするつもりだったがINSERT2のねじ山が傷んでいたため断念した。
TDU変更：　3665200</t>
    <rPh sb="13" eb="14">
      <t>アナ</t>
    </rPh>
    <rPh sb="26" eb="27">
      <t>アナ</t>
    </rPh>
    <rPh sb="33" eb="35">
      <t>コウカン</t>
    </rPh>
    <rPh sb="39" eb="40">
      <t>トモナ</t>
    </rPh>
    <rPh sb="41" eb="43">
      <t>フダン</t>
    </rPh>
    <rPh sb="43" eb="44">
      <t>ヅカ</t>
    </rPh>
    <rPh sb="80" eb="82">
      <t>ヘンコウ</t>
    </rPh>
    <rPh sb="85" eb="87">
      <t>トウショ</t>
    </rPh>
    <rPh sb="88" eb="90">
      <t>ヨテイ</t>
    </rPh>
    <rPh sb="104" eb="105">
      <t>アナ</t>
    </rPh>
    <rPh sb="130" eb="131">
      <t>ヤマ</t>
    </rPh>
    <rPh sb="132" eb="133">
      <t>イタ</t>
    </rPh>
    <rPh sb="139" eb="141">
      <t>ダンネン</t>
    </rPh>
    <rPh sb="148" eb="150">
      <t>ヘンコウ</t>
    </rPh>
    <phoneticPr fontId="4"/>
  </si>
  <si>
    <t>scm-bl1-3-1-1</t>
    <phoneticPr fontId="4"/>
  </si>
  <si>
    <t>アイリス開かない</t>
    <rPh sb="4" eb="5">
      <t>ヒラ</t>
    </rPh>
    <phoneticPr fontId="4"/>
  </si>
  <si>
    <t>scm-bl1-3-1-1</t>
    <phoneticPr fontId="4"/>
  </si>
  <si>
    <t>srmon-scmcam-dump-04</t>
    <phoneticPr fontId="4"/>
  </si>
  <si>
    <t>srmon-scmcam-dump-02</t>
    <phoneticPr fontId="4"/>
  </si>
  <si>
    <t>srmon-scmcam-dump-05</t>
    <phoneticPr fontId="4"/>
  </si>
  <si>
    <t>srmon-scmcam-XSBT_20</t>
    <phoneticPr fontId="4"/>
  </si>
  <si>
    <t>srmon-scmcam-XSBT_21</t>
    <phoneticPr fontId="4"/>
  </si>
  <si>
    <t>srmon-scmcam-XSBT_22</t>
    <phoneticPr fontId="4"/>
  </si>
  <si>
    <t>srmon-scmcam-XSBT_23</t>
    <phoneticPr fontId="4"/>
  </si>
  <si>
    <t>srmon-ssbt2-04</t>
    <phoneticPr fontId="4"/>
  </si>
  <si>
    <t>srmon-scmcam-XSBT-24</t>
    <phoneticPr fontId="4"/>
  </si>
  <si>
    <t>srmon-scmcam-XSBT-25</t>
    <phoneticPr fontId="4"/>
  </si>
  <si>
    <t>srmon-scmcam-XSBT-26</t>
    <phoneticPr fontId="4"/>
  </si>
  <si>
    <t>srmon-scmcam-XSBT-27</t>
    <phoneticPr fontId="4"/>
  </si>
  <si>
    <t>srmon-scmcam-XSBT-28</t>
    <phoneticPr fontId="4"/>
  </si>
  <si>
    <t>cam_dump_5</t>
    <phoneticPr fontId="4"/>
  </si>
  <si>
    <t>xsbt_dump_5</t>
    <phoneticPr fontId="4"/>
  </si>
  <si>
    <t>sr_mon_scm_xsbt_cam_dump_5</t>
    <phoneticPr fontId="4"/>
  </si>
  <si>
    <t>srmon-ssbt1-03</t>
    <phoneticPr fontId="4"/>
  </si>
  <si>
    <t>srmon-scmcam-XSBT-29</t>
    <phoneticPr fontId="4"/>
  </si>
  <si>
    <t>cam_dump_2</t>
    <phoneticPr fontId="4"/>
  </si>
  <si>
    <t>UDflip</t>
    <phoneticPr fontId="4"/>
  </si>
  <si>
    <t>sr_mon_scm_xsbt_cam_20</t>
    <phoneticPr fontId="4"/>
  </si>
  <si>
    <t>sr_mon_scm_xsbt_cam_21</t>
    <phoneticPr fontId="4"/>
  </si>
  <si>
    <t>sr_mon_scm_xsbt_cam_22</t>
  </si>
  <si>
    <t>cam_20</t>
    <phoneticPr fontId="4"/>
  </si>
  <si>
    <t>cam_21</t>
  </si>
  <si>
    <t>cam_22</t>
  </si>
  <si>
    <t>cam_23</t>
  </si>
  <si>
    <t>xsbt_20</t>
    <phoneticPr fontId="4"/>
  </si>
  <si>
    <t>xsbt_21</t>
  </si>
  <si>
    <t>xsbt_22</t>
  </si>
  <si>
    <t>xsbt_23</t>
  </si>
  <si>
    <t>sr_mon_scm_xsbt_cam_23</t>
    <phoneticPr fontId="4"/>
  </si>
  <si>
    <t>sr_mon_scm_xsbt_cam_24</t>
    <phoneticPr fontId="4"/>
  </si>
  <si>
    <t>sr_mon_scm_xsbt_cam_25</t>
  </si>
  <si>
    <t>sr_mon_scm_xsbt_cam_26</t>
  </si>
  <si>
    <t>sr_mon_scm_xsbt_cam_27</t>
  </si>
  <si>
    <t>sr_mon_scm_xsbt_cam_28</t>
  </si>
  <si>
    <t>sr_mon_scm_xsbt_cam_29</t>
  </si>
  <si>
    <t>cam_24</t>
  </si>
  <si>
    <t>cam_25</t>
  </si>
  <si>
    <t>cam_26</t>
  </si>
  <si>
    <t>cam_27</t>
  </si>
  <si>
    <t>cam_28</t>
  </si>
  <si>
    <t>cam_29</t>
  </si>
  <si>
    <t>xsbt_24</t>
  </si>
  <si>
    <t>xsbt_25</t>
  </si>
  <si>
    <t>xsbt_26</t>
  </si>
  <si>
    <t>xsbt_27</t>
  </si>
  <si>
    <t>xsbt_28</t>
  </si>
  <si>
    <t>xsbt_29</t>
  </si>
  <si>
    <t>sr_mon_scm_xsbt_2</t>
    <phoneticPr fontId="4"/>
  </si>
  <si>
    <t>cmd_port</t>
    <phoneticPr fontId="4"/>
  </si>
  <si>
    <t>xsbt_dump_2</t>
    <phoneticPr fontId="4"/>
  </si>
  <si>
    <t>cmd_pos</t>
    <phoneticPr fontId="4"/>
  </si>
  <si>
    <t>xsbt_01</t>
    <phoneticPr fontId="4"/>
  </si>
  <si>
    <t>xsbt_03</t>
    <phoneticPr fontId="4"/>
  </si>
  <si>
    <t>xsbt_07</t>
    <phoneticPr fontId="4"/>
  </si>
  <si>
    <t>xsbt_09</t>
    <phoneticPr fontId="4"/>
  </si>
  <si>
    <t>xsbt_11</t>
    <phoneticPr fontId="4"/>
  </si>
  <si>
    <t>xsbt_12</t>
    <phoneticPr fontId="4"/>
  </si>
  <si>
    <t>xsbt_18</t>
    <phoneticPr fontId="4"/>
  </si>
  <si>
    <t>xsbt_22</t>
    <phoneticPr fontId="4"/>
  </si>
  <si>
    <t>xsbt_23</t>
    <phoneticPr fontId="4"/>
  </si>
  <si>
    <t>xsbt_24</t>
    <phoneticPr fontId="4"/>
  </si>
  <si>
    <t>sr_mon_scm_xsbt_dump_1/light_</t>
    <phoneticPr fontId="4"/>
  </si>
  <si>
    <t>sr_mon_scm_xsbt_22/light_</t>
    <phoneticPr fontId="4"/>
  </si>
  <si>
    <t>sr_mon_scm_xsbt_1_light/</t>
    <phoneticPr fontId="4"/>
  </si>
  <si>
    <t>sr_mon_scm_xsbt_2_light/</t>
    <phoneticPr fontId="4"/>
  </si>
  <si>
    <t>cmd_led_stat</t>
    <phoneticPr fontId="4"/>
  </si>
  <si>
    <t>sr_mon_scm_xsbt_dump_1</t>
  </si>
  <si>
    <t>sr_mon_scm_xsbt_22</t>
  </si>
  <si>
    <t>sr_mon_scm_xsbt_02</t>
    <phoneticPr fontId="4"/>
  </si>
  <si>
    <t>sr_mon_scm_xsbt_05</t>
    <phoneticPr fontId="4"/>
  </si>
  <si>
    <t>sr_mon_scm_xsbt_05/light_</t>
    <phoneticPr fontId="4"/>
  </si>
  <si>
    <t>ビームのプロファイルが見えませんでした</t>
    <phoneticPr fontId="4"/>
  </si>
  <si>
    <t>ステージがCCW LIMITが解消できず、動かなかった   リミットのクリアー松原さんが</t>
    <rPh sb="39" eb="41">
      <t>マツバラ</t>
    </rPh>
    <phoneticPr fontId="4"/>
  </si>
  <si>
    <t>上下左右反転していたのを町田さんが取付直した</t>
    <rPh sb="0" eb="2">
      <t>ジョウゲ</t>
    </rPh>
    <rPh sb="2" eb="4">
      <t>サユウ</t>
    </rPh>
    <rPh sb="4" eb="6">
      <t>ハンテン</t>
    </rPh>
    <rPh sb="12" eb="14">
      <t>マチダ</t>
    </rPh>
    <rPh sb="17" eb="19">
      <t>トリツケ</t>
    </rPh>
    <rPh sb="19" eb="20">
      <t>ナオ</t>
    </rPh>
    <phoneticPr fontId="4"/>
  </si>
  <si>
    <t>sr_mon_scm_xsbt_02/light_</t>
    <phoneticPr fontId="4"/>
  </si>
  <si>
    <t>default_gain</t>
    <phoneticPr fontId="4"/>
  </si>
  <si>
    <t>停止期間にID1を5mmズラス作業で一旦架台ごと取り外したのでピント再調整
2020/4/3に松原氏よりメール</t>
    <rPh sb="0" eb="2">
      <t>テイシ</t>
    </rPh>
    <rPh sb="2" eb="4">
      <t>キカン</t>
    </rPh>
    <rPh sb="15" eb="17">
      <t>サギョウ</t>
    </rPh>
    <rPh sb="18" eb="20">
      <t>イッタン</t>
    </rPh>
    <rPh sb="20" eb="22">
      <t>ガダイ</t>
    </rPh>
    <rPh sb="24" eb="25">
      <t>ト</t>
    </rPh>
    <rPh sb="26" eb="27">
      <t>ハズ</t>
    </rPh>
    <rPh sb="34" eb="37">
      <t>サイチョウセイ</t>
    </rPh>
    <rPh sb="47" eb="49">
      <t>マツバラ</t>
    </rPh>
    <rPh sb="49" eb="50">
      <t>シ</t>
    </rPh>
    <phoneticPr fontId="4"/>
  </si>
  <si>
    <t>カメラの位置がズレていたため位置変更</t>
    <rPh sb="4" eb="6">
      <t>イチ</t>
    </rPh>
    <rPh sb="14" eb="16">
      <t>イチ</t>
    </rPh>
    <rPh sb="16" eb="18">
      <t>ヘンコウ</t>
    </rPh>
    <phoneticPr fontId="4"/>
  </si>
  <si>
    <t>XSBT_1から4のSCM画像が見えない件
　→SCM-PLCとアンジュレータギャラリー内のCo-Controller 1の両方の電源をOFF/ONした。</t>
    <phoneticPr fontId="4"/>
  </si>
  <si>
    <t>scm-s-cb2-1</t>
    <phoneticPr fontId="4"/>
  </si>
  <si>
    <t>収集不能 -&gt; カメラ交換　動作確認未だ</t>
    <rPh sb="0" eb="2">
      <t>シュウシュウ</t>
    </rPh>
    <rPh sb="2" eb="4">
      <t>フノウ</t>
    </rPh>
    <rPh sb="11" eb="13">
      <t>コウカン</t>
    </rPh>
    <rPh sb="14" eb="16">
      <t>ドウサ</t>
    </rPh>
    <rPh sb="16" eb="18">
      <t>カクニン</t>
    </rPh>
    <rPh sb="18" eb="19">
      <t>マ</t>
    </rPh>
    <phoneticPr fontId="4"/>
  </si>
  <si>
    <t>CCDステージ　STEP OUT, ADDRESS OVER FLOW　発生　-&gt; MDリブート</t>
    <rPh sb="36" eb="38">
      <t>ハッセイ</t>
    </rPh>
    <phoneticPr fontId="4"/>
  </si>
  <si>
    <t>scm-s-inj-sb-2</t>
    <phoneticPr fontId="4"/>
  </si>
  <si>
    <t>BC1改造に伴い、
配線の都合から本体はSCM_S_BC1_1を使用し、カメラシステムはSCM_S_INJ_SB_2のものを使用する。信号名はSCM_S_BC1_1としたい
em_camera_info.cからsb_2を削除し、
config.tblについてはsb_2をbc1_1に変更し、sb_2は削除</t>
    <rPh sb="3" eb="5">
      <t>カイゾウ</t>
    </rPh>
    <rPh sb="6" eb="7">
      <t>トモナ</t>
    </rPh>
    <rPh sb="110" eb="112">
      <t>サクジョ</t>
    </rPh>
    <rPh sb="141" eb="143">
      <t>ヘンコウ</t>
    </rPh>
    <rPh sb="150" eb="152">
      <t>サクジョ</t>
    </rPh>
    <phoneticPr fontId="4"/>
  </si>
  <si>
    <t>bl1-0-3</t>
    <phoneticPr fontId="4"/>
  </si>
  <si>
    <t>bl1-predump-1</t>
    <phoneticPr fontId="4"/>
  </si>
  <si>
    <t>bl1-dump-1</t>
    <phoneticPr fontId="4"/>
  </si>
  <si>
    <t>bl1-dump-2</t>
    <phoneticPr fontId="4"/>
  </si>
  <si>
    <t>scss_mon_scm_bl1_dump_2_port</t>
    <phoneticPr fontId="4"/>
  </si>
  <si>
    <t>scss_mon_scm_bl1_dump_1_port</t>
    <phoneticPr fontId="4"/>
  </si>
  <si>
    <t>scss_mon_scm_bl1_predump_1_port</t>
    <phoneticPr fontId="4"/>
  </si>
  <si>
    <t>scss_mon_scm_bl1_0_3_port</t>
    <phoneticPr fontId="4"/>
  </si>
  <si>
    <t>scss_mon_scm_bl1_1</t>
  </si>
  <si>
    <t>scss_mon_scm_bl1_1</t>
    <phoneticPr fontId="4"/>
  </si>
  <si>
    <t>sr_mon_scm_xsbt_cam_dump_2_port</t>
    <phoneticPr fontId="4"/>
  </si>
  <si>
    <t>sr_mon_scm_xsbt_cam_dump_4_port</t>
    <phoneticPr fontId="4"/>
  </si>
  <si>
    <t>sr_mon_scm_xsbt_cam_dump_5_port</t>
    <phoneticPr fontId="4"/>
  </si>
  <si>
    <t>sr_mon_scm_xsbt_cam_20_port</t>
    <phoneticPr fontId="4"/>
  </si>
  <si>
    <t>sr_mon_scm_xsbt_cam_21_port</t>
    <phoneticPr fontId="4"/>
  </si>
  <si>
    <t>sr_mon_scm_xsbt_cam_22_port</t>
    <phoneticPr fontId="4"/>
  </si>
  <si>
    <t>sr_mon_scm_xsbt_cam_23_port</t>
    <phoneticPr fontId="4"/>
  </si>
  <si>
    <t>sr_mon_scm_xsbt_cam_24_port</t>
    <phoneticPr fontId="4"/>
  </si>
  <si>
    <t>sr_mon_scm_xsbt_cam_25_port</t>
    <phoneticPr fontId="4"/>
  </si>
  <si>
    <t>sr_mon_scm_xsbt_cam_26_port</t>
    <phoneticPr fontId="4"/>
  </si>
  <si>
    <t>sr_mon_scm_xsbt_cam_27_port</t>
    <phoneticPr fontId="4"/>
  </si>
  <si>
    <t>sr_mon_scm_xsbt_cam_28_port</t>
    <phoneticPr fontId="4"/>
  </si>
  <si>
    <t>sr_mon_scm_xsbt_cam_29_port</t>
    <phoneticPr fontId="4"/>
  </si>
  <si>
    <t>YAG</t>
    <phoneticPr fontId="4"/>
  </si>
  <si>
    <t>ターゲット変更　でマルケスとから四角いYAGに
四隅の丸ポチの間隔は6mm
斜めにしているので縦横比が異なる</t>
    <rPh sb="5" eb="7">
      <t>ヘンコウ</t>
    </rPh>
    <rPh sb="16" eb="18">
      <t>シカク</t>
    </rPh>
    <rPh sb="24" eb="26">
      <t>ヨスミ</t>
    </rPh>
    <rPh sb="27" eb="28">
      <t>マル</t>
    </rPh>
    <rPh sb="31" eb="33">
      <t>カンカク</t>
    </rPh>
    <rPh sb="38" eb="39">
      <t>ナナ</t>
    </rPh>
    <rPh sb="47" eb="49">
      <t>タテヨコ</t>
    </rPh>
    <rPh sb="49" eb="50">
      <t>ヒ</t>
    </rPh>
    <rPh sb="51" eb="52">
      <t>コト</t>
    </rPh>
    <phoneticPr fontId="4"/>
  </si>
  <si>
    <t>scss_mon_scm_bl1_0_3_led</t>
    <phoneticPr fontId="4"/>
  </si>
  <si>
    <t>scss_mon_scm_bl1_predump_1_led</t>
    <phoneticPr fontId="4"/>
  </si>
  <si>
    <t>scss_mon_scm_bl1_dump_1_led</t>
    <phoneticPr fontId="4"/>
  </si>
  <si>
    <t>scss_mon_scm_bl1_dump_2_led</t>
    <phoneticPr fontId="4"/>
  </si>
  <si>
    <t>scss_mon_scm_bl1_0_3</t>
    <phoneticPr fontId="4"/>
  </si>
  <si>
    <t>scss_mon_scm_bl1_predump_1</t>
    <phoneticPr fontId="4"/>
  </si>
  <si>
    <t>scss_mon_scm_bl1_dump_1</t>
    <phoneticPr fontId="4"/>
  </si>
  <si>
    <t>scss_mon_scm_bl1_dump_2</t>
    <phoneticPr fontId="4"/>
  </si>
  <si>
    <t>scss_mon_scm_bl1_0_3_screen/position</t>
  </si>
  <si>
    <t>scss_mon_scm_bl1_dump_1_screen/position</t>
  </si>
  <si>
    <t>scss_mon_scm_bl1_dump_2_screen/position</t>
  </si>
  <si>
    <t>scss_mon_scm_bl1_predump_1_screen/position</t>
  </si>
  <si>
    <t>中心px</t>
    <rPh sb="0" eb="2">
      <t>チュウシン</t>
    </rPh>
    <phoneticPr fontId="4"/>
  </si>
  <si>
    <t>PixelSizeX</t>
    <phoneticPr fontId="4"/>
  </si>
  <si>
    <t>PixelSizeY</t>
    <phoneticPr fontId="4"/>
  </si>
  <si>
    <t>scss_mon_scm_bl1_0_3</t>
    <phoneticPr fontId="4"/>
  </si>
  <si>
    <t>scss_mon_scm_bl1_dump_1</t>
    <phoneticPr fontId="4"/>
  </si>
  <si>
    <t>scimg-bl1-01</t>
    <phoneticPr fontId="4"/>
  </si>
  <si>
    <t>Gig-E変更</t>
    <phoneticPr fontId="4"/>
  </si>
  <si>
    <t>Desmarquest</t>
    <phoneticPr fontId="4"/>
  </si>
  <si>
    <t>ターゲット交換　Desmarquest-&gt;YAG　　滲み＆残光対策</t>
    <rPh sb="5" eb="7">
      <t>コウカン</t>
    </rPh>
    <phoneticPr fontId="4"/>
  </si>
  <si>
    <t>cmd_head</t>
    <phoneticPr fontId="4"/>
  </si>
  <si>
    <t>scss_mon</t>
    <phoneticPr fontId="4"/>
  </si>
  <si>
    <t xml:space="preserve">IMGDIR </t>
    <phoneticPr fontId="4"/>
  </si>
  <si>
    <t>/data/scss/mdaq_img</t>
    <phoneticPr fontId="4"/>
  </si>
  <si>
    <t>2020夏 PSI方式に変更　　　　　       pxサイズ完了</t>
    <rPh sb="9" eb="11">
      <t>ホウシキ</t>
    </rPh>
    <rPh sb="12" eb="14">
      <t>ヘンコウ</t>
    </rPh>
    <phoneticPr fontId="4"/>
  </si>
  <si>
    <t>2020夏 PSI方式に変更 予定だったが冬にずれ込んだ
カメラのみGO2400に変更         pxサイズ完了</t>
    <rPh sb="9" eb="11">
      <t>ホウシキ</t>
    </rPh>
    <rPh sb="12" eb="14">
      <t>ヘンコウ</t>
    </rPh>
    <rPh sb="15" eb="17">
      <t>ヨテイ</t>
    </rPh>
    <rPh sb="21" eb="22">
      <t>フユ</t>
    </rPh>
    <rPh sb="25" eb="26">
      <t>コ</t>
    </rPh>
    <rPh sb="41" eb="43">
      <t>ヘンコウ</t>
    </rPh>
    <phoneticPr fontId="4"/>
  </si>
  <si>
    <t>2020夏 PSI方式に変更        pxサイズ変化ないので算出不能</t>
    <rPh sb="9" eb="11">
      <t>ホウシキ</t>
    </rPh>
    <rPh sb="12" eb="14">
      <t>ヘンコウ</t>
    </rPh>
    <rPh sb="27" eb="29">
      <t>ヘンカ</t>
    </rPh>
    <rPh sb="33" eb="35">
      <t>サンシュツ</t>
    </rPh>
    <rPh sb="35" eb="37">
      <t>フノウ</t>
    </rPh>
    <phoneticPr fontId="4"/>
  </si>
  <si>
    <t>2020夏 PSI方式に変更 予定だったが冬にずれ込んだ
カメラのみGO2400に変更       pxサイズ変化ないので算出不能</t>
    <rPh sb="9" eb="11">
      <t>ホウシキ</t>
    </rPh>
    <rPh sb="12" eb="14">
      <t>ヘンコウ</t>
    </rPh>
    <rPh sb="15" eb="17">
      <t>ヨテイ</t>
    </rPh>
    <rPh sb="21" eb="22">
      <t>フユ</t>
    </rPh>
    <rPh sb="25" eb="26">
      <t>コ</t>
    </rPh>
    <rPh sb="41" eb="43">
      <t>ヘンコウ</t>
    </rPh>
    <phoneticPr fontId="4"/>
  </si>
  <si>
    <t>2020夏 PSI方式に変更　　　　pxサイズ変化ないので算出不能</t>
    <rPh sb="9" eb="11">
      <t>ホウシキ</t>
    </rPh>
    <rPh sb="12" eb="14">
      <t>ヘンコウ</t>
    </rPh>
    <phoneticPr fontId="4"/>
  </si>
  <si>
    <t>MODENAME</t>
    <phoneticPr fontId="4"/>
  </si>
  <si>
    <t>scmon</t>
    <phoneticPr fontId="4"/>
  </si>
  <si>
    <t>SCREENINFO</t>
    <phoneticPr fontId="4"/>
  </si>
  <si>
    <t>GINFO</t>
    <phoneticPr fontId="4"/>
  </si>
  <si>
    <t>scss_mon_scm_bl1_0_3_screen/clear</t>
    <phoneticPr fontId="4"/>
  </si>
  <si>
    <t>cmd_clear</t>
    <phoneticPr fontId="4"/>
  </si>
  <si>
    <t>scss_mon_scm_bl1_predump_1_screen/clear</t>
    <phoneticPr fontId="4"/>
  </si>
  <si>
    <t>scss_mon_scm_bl1_dump_1_screen/clear</t>
    <phoneticPr fontId="4"/>
  </si>
  <si>
    <t>scss_mon_scm_bl1_dump_2_screen/clear</t>
    <phoneticPr fontId="4"/>
  </si>
  <si>
    <t>scss_mon_scm_bl1_0_3_screen/insert</t>
    <phoneticPr fontId="4"/>
  </si>
  <si>
    <t>scss_mon_scm_bl1_predump_1_screen/insert</t>
    <phoneticPr fontId="4"/>
  </si>
  <si>
    <t>scss_mon_scm_bl1_dump_1_screen/insert</t>
    <phoneticPr fontId="4"/>
  </si>
  <si>
    <t>scss_mon_scm_bl1_dump_2_screen/insert</t>
    <phoneticPr fontId="4"/>
  </si>
  <si>
    <t>cmd_insert1</t>
    <phoneticPr fontId="4"/>
  </si>
  <si>
    <t>cmd_insert2</t>
    <phoneticPr fontId="4"/>
  </si>
  <si>
    <t>/data/sr/mdaq_img</t>
    <phoneticPr fontId="4"/>
  </si>
  <si>
    <t>srmon</t>
    <phoneticPr fontId="4"/>
  </si>
  <si>
    <t>/home/xfel/xfelopr/kenichi/xfel_scm_file_q/scm_if/ScreenInfo_SR_GigE.csv</t>
    <phoneticPr fontId="4"/>
  </si>
  <si>
    <t>/home/xfel/xfelopr/kenichi/xfel_scm_file_q/scm_if/ScreenInfo_SR_GigE_ginfo.csv</t>
    <phoneticPr fontId="4"/>
  </si>
  <si>
    <t>光量調整</t>
    <rPh sb="0" eb="1">
      <t>ヒカリ</t>
    </rPh>
    <rPh sb="1" eb="2">
      <t>リョウ</t>
    </rPh>
    <rPh sb="2" eb="4">
      <t>チョウセイ</t>
    </rPh>
    <phoneticPr fontId="4"/>
  </si>
  <si>
    <t>故障？？</t>
    <rPh sb="0" eb="2">
      <t>コショウ</t>
    </rPh>
    <phoneticPr fontId="4"/>
  </si>
  <si>
    <t>cmd_ccd</t>
    <phoneticPr fontId="4"/>
  </si>
  <si>
    <t>scss_mon_scm_bl1_0_3_ccd</t>
    <phoneticPr fontId="4"/>
  </si>
  <si>
    <t>scss_mon_scm_bl1_predump_1_ccd</t>
    <phoneticPr fontId="4"/>
  </si>
  <si>
    <t>scss_mon_scm_bl1_dump_1_ccd</t>
    <phoneticPr fontId="4"/>
  </si>
  <si>
    <t>scss_mon_scm_bl1_dump_2_ccd</t>
    <phoneticPr fontId="4"/>
  </si>
  <si>
    <t>cmd_iris</t>
    <phoneticPr fontId="4"/>
  </si>
  <si>
    <t>scss_mon_scm_bl1_0_3_iris</t>
    <phoneticPr fontId="4"/>
  </si>
  <si>
    <t>scss_mon_scm_bl1_predump_1_iris</t>
    <phoneticPr fontId="4"/>
  </si>
  <si>
    <t>scss_mon_scm_bl1_dump_1_iris</t>
    <phoneticPr fontId="4"/>
  </si>
  <si>
    <t>scss_mon_scm_bl1_dump_2_iris</t>
    <phoneticPr fontId="4"/>
  </si>
  <si>
    <t>延長器の電源OFF/ONで復旧</t>
    <rPh sb="0" eb="2">
      <t>エンチョウ</t>
    </rPh>
    <rPh sb="2" eb="3">
      <t>キ</t>
    </rPh>
    <rPh sb="4" eb="6">
      <t>デンゲン</t>
    </rPh>
    <rPh sb="13" eb="15">
      <t>フッキュウ</t>
    </rPh>
    <phoneticPr fontId="4"/>
  </si>
  <si>
    <t>PSI方式に変更、カメラもGO2400に変更、OTR-&gt;YAG</t>
    <rPh sb="3" eb="5">
      <t>ホウシキ</t>
    </rPh>
    <rPh sb="6" eb="8">
      <t>ヘンコウ</t>
    </rPh>
    <rPh sb="20" eb="22">
      <t>ヘンコウ</t>
    </rPh>
    <phoneticPr fontId="4"/>
  </si>
  <si>
    <t>scm-xsbt-3</t>
    <phoneticPr fontId="4"/>
  </si>
  <si>
    <t>画像の真ん中にダンプ穴が来るようにカメラ位置調整</t>
    <rPh sb="0" eb="2">
      <t>ガゾウ</t>
    </rPh>
    <rPh sb="3" eb="4">
      <t>マ</t>
    </rPh>
    <rPh sb="5" eb="6">
      <t>ナカ</t>
    </rPh>
    <rPh sb="10" eb="11">
      <t>アナ</t>
    </rPh>
    <rPh sb="12" eb="13">
      <t>ク</t>
    </rPh>
    <rPh sb="20" eb="22">
      <t>イチ</t>
    </rPh>
    <rPh sb="22" eb="24">
      <t>チョウセイ</t>
    </rPh>
    <phoneticPr fontId="4"/>
  </si>
  <si>
    <t>scm-xsbt-1,3をGO2400にしたせいか、f117で収集不能になった</t>
    <rPh sb="31" eb="33">
      <t>シュウシュウ</t>
    </rPh>
    <rPh sb="33" eb="35">
      <t>フノウ</t>
    </rPh>
    <phoneticPr fontId="4"/>
  </si>
  <si>
    <t>/data/xfel/img</t>
    <phoneticPr fontId="4"/>
  </si>
  <si>
    <t>/home/xfel/xfelopr/kenichi/dvlp/xfel_scm_file_q/scm_if/ScreenInfo_SCSS_GigE.csv</t>
    <phoneticPr fontId="4"/>
  </si>
  <si>
    <t>/home/xfel/xfelopr/kenichi/dvlp/xfel_scm_file_q/scm_if/ScreenInfo_SCSS_GigE_ginfo.csv</t>
    <phoneticPr fontId="4"/>
  </si>
  <si>
    <t>/home/xfel/xfelopr/kenichi/dvlp/xfel_scm_file_q/scm_if/ScreenInfo_Acc.csv</t>
    <phoneticPr fontId="4"/>
  </si>
  <si>
    <t>DBで調査すると、ユニット状態がオフラインになっておりました。</t>
    <phoneticPr fontId="4"/>
  </si>
  <si>
    <t>xfel_mon_scm_inj_238_1_screen/clear</t>
    <phoneticPr fontId="4"/>
  </si>
  <si>
    <t>xfel_mon_scm_inj_238_1_screen/insert</t>
    <phoneticPr fontId="4"/>
  </si>
  <si>
    <t>xfel_mon_scm_inj_238_1_ccd</t>
    <phoneticPr fontId="4"/>
  </si>
  <si>
    <t>xfel_mon_scm_inj_238_1_iris</t>
    <phoneticPr fontId="4"/>
  </si>
  <si>
    <t>xfel</t>
    <phoneticPr fontId="4"/>
  </si>
  <si>
    <t>xfel_mon_scm_inj_476_1_screen/clear</t>
    <phoneticPr fontId="4"/>
  </si>
  <si>
    <t>xfel_mon_scm_inj_476_1_screen/insert</t>
    <phoneticPr fontId="4"/>
  </si>
  <si>
    <t>xfel_mon_scm_inj_476_1_ccd</t>
    <phoneticPr fontId="4"/>
  </si>
  <si>
    <t>xfel_mon_scm_inj_476_1_iris</t>
    <phoneticPr fontId="4"/>
  </si>
  <si>
    <t>Desmarquest -&gt; YAG</t>
    <phoneticPr fontId="4"/>
  </si>
  <si>
    <t>ID11,12移設の為一旦取り外したため、再ピント調整</t>
    <rPh sb="7" eb="9">
      <t>イセツ</t>
    </rPh>
    <rPh sb="10" eb="11">
      <t>タメ</t>
    </rPh>
    <rPh sb="11" eb="13">
      <t>イッタン</t>
    </rPh>
    <rPh sb="13" eb="14">
      <t>ト</t>
    </rPh>
    <rPh sb="15" eb="16">
      <t>ハズ</t>
    </rPh>
    <rPh sb="21" eb="22">
      <t>サイ</t>
    </rPh>
    <rPh sb="25" eb="27">
      <t>チョウセイ</t>
    </rPh>
    <phoneticPr fontId="4"/>
  </si>
  <si>
    <t>scm-cb05</t>
    <phoneticPr fontId="4"/>
  </si>
  <si>
    <t>シリアル受信失敗
収納部内の延長器CLE-300LC TXのLEDが紫点灯(LAN B未接続)だった
もちろん接続はされている
抜差し電源切入りでも復旧せず
試しに、LAN AとLAN Bを逆にしてみたら緑点灯して復旧した。謎すぎる</t>
    <rPh sb="4" eb="6">
      <t>ジュシン</t>
    </rPh>
    <rPh sb="6" eb="8">
      <t>シッパイ</t>
    </rPh>
    <rPh sb="9" eb="12">
      <t>シュウノウブ</t>
    </rPh>
    <rPh sb="12" eb="13">
      <t>ナイ</t>
    </rPh>
    <rPh sb="14" eb="16">
      <t>エンチョウ</t>
    </rPh>
    <rPh sb="16" eb="17">
      <t>キ</t>
    </rPh>
    <rPh sb="34" eb="35">
      <t>ムラサキ</t>
    </rPh>
    <rPh sb="35" eb="37">
      <t>テントウ</t>
    </rPh>
    <rPh sb="43" eb="46">
      <t>ミセツゾク</t>
    </rPh>
    <rPh sb="55" eb="57">
      <t>セツゾク</t>
    </rPh>
    <rPh sb="64" eb="66">
      <t>ヌキサ</t>
    </rPh>
    <rPh sb="67" eb="69">
      <t>デンゲン</t>
    </rPh>
    <rPh sb="69" eb="71">
      <t>キリイ</t>
    </rPh>
    <rPh sb="74" eb="76">
      <t>フッキュウ</t>
    </rPh>
    <rPh sb="79" eb="80">
      <t>タメ</t>
    </rPh>
    <rPh sb="95" eb="96">
      <t>ギャク</t>
    </rPh>
    <rPh sb="102" eb="103">
      <t>ミドリ</t>
    </rPh>
    <rPh sb="103" eb="105">
      <t>テントウ</t>
    </rPh>
    <rPh sb="107" eb="109">
      <t>フッキュウ</t>
    </rPh>
    <rPh sb="112" eb="113">
      <t>ナゾ</t>
    </rPh>
    <phoneticPr fontId="4"/>
  </si>
  <si>
    <t>sr_mon</t>
    <phoneticPr fontId="4"/>
  </si>
  <si>
    <t>今までINSERT2を見るようにしていたが何故か見えないのでINSERT1を標準で見えるようにした
春の停止期間にBC2のコリメータを追加したがそれでラダーがおかしくなった？</t>
    <rPh sb="0" eb="1">
      <t>イマ</t>
    </rPh>
    <rPh sb="11" eb="12">
      <t>ミ</t>
    </rPh>
    <rPh sb="21" eb="23">
      <t>ナゼ</t>
    </rPh>
    <rPh sb="24" eb="25">
      <t>ミ</t>
    </rPh>
    <rPh sb="38" eb="40">
      <t>ヒョウジュン</t>
    </rPh>
    <rPh sb="41" eb="42">
      <t>ミ</t>
    </rPh>
    <rPh sb="50" eb="51">
      <t>ハル</t>
    </rPh>
    <rPh sb="52" eb="56">
      <t>テイシキカン</t>
    </rPh>
    <rPh sb="67" eb="69">
      <t>ツイカ</t>
    </rPh>
    <phoneticPr fontId="4"/>
  </si>
  <si>
    <t>xfel_mon_scm_inj_238_1_led</t>
    <phoneticPr fontId="4"/>
  </si>
  <si>
    <t>xfel_mon_scm_inj_476_1_led</t>
    <phoneticPr fontId="4"/>
  </si>
  <si>
    <t>xfmon</t>
    <phoneticPr fontId="4"/>
  </si>
  <si>
    <t>HOMEDIR</t>
    <phoneticPr fontId="4"/>
  </si>
  <si>
    <t>/home/xfel/xfelopr/kenichi/dvlp/xfel_scm_file_q</t>
    <phoneticPr fontId="4"/>
  </si>
  <si>
    <t>/home/xfel/xfelopr/kenichi/dvlp/xfel_scm_file_q/scm_if/ScreenInfo_Acc_ginfo.csv</t>
    <phoneticPr fontId="4"/>
  </si>
  <si>
    <t>xfel_mon_scm_inj_238_1_screen/position</t>
    <phoneticPr fontId="4"/>
  </si>
  <si>
    <t>xfel_mon_scm_inj_238_1</t>
    <phoneticPr fontId="4"/>
  </si>
  <si>
    <t>xfel_mon_scm_inj_476_1_screen/position</t>
    <phoneticPr fontId="4"/>
  </si>
  <si>
    <t>xfel_mon_scm_inj_476_1</t>
    <phoneticPr fontId="4"/>
  </si>
  <si>
    <t>scss_mon_scm_s_inj_238_1</t>
  </si>
  <si>
    <t>scss_mon_scm_s_inj_476_1</t>
  </si>
  <si>
    <t>scss_mon_scm_s_inj_sb_1</t>
  </si>
  <si>
    <t>scss_mon_scm_s_bc1_1</t>
  </si>
  <si>
    <t>scss_mon_scm_s_bc1_2</t>
  </si>
  <si>
    <t>scss_mon_scm_s_cb1_1</t>
  </si>
  <si>
    <t>scss_mon_scm_s_bc2_1</t>
  </si>
  <si>
    <t>scss_mon_scm_s_bc2_2</t>
  </si>
  <si>
    <t>scss_mon_scm_s_bc2_4</t>
  </si>
  <si>
    <t>scss_mon_scm_s_cb2_1</t>
  </si>
  <si>
    <t>scss_mon_scm_s_cb3_1</t>
  </si>
  <si>
    <t>scss_mon_scm_bl1_0_1</t>
  </si>
  <si>
    <t>scss_mon_scm_bl1_0_2</t>
  </si>
  <si>
    <t>scss_mon_scm_bl1_0_4</t>
  </si>
  <si>
    <t>scss_mon_scm_bl1_3_1_1</t>
  </si>
  <si>
    <t>scss_mon_scm_bl1_3_2_1</t>
  </si>
  <si>
    <t>scimg-s-bc1-01</t>
  </si>
  <si>
    <t>scss_mon_scm_s_inj_238_1_led</t>
    <phoneticPr fontId="4"/>
  </si>
  <si>
    <t>scss_mon_scm_s_inj_476_1_led</t>
    <phoneticPr fontId="4"/>
  </si>
  <si>
    <t>scss_mon_scm_s_inj_sb_1_led</t>
    <phoneticPr fontId="4"/>
  </si>
  <si>
    <t>scss_mon_scm_s_bc1_1_led</t>
    <phoneticPr fontId="4"/>
  </si>
  <si>
    <t>scss_mon_scm_s_bc1_2_led</t>
    <phoneticPr fontId="4"/>
  </si>
  <si>
    <t>scss_mon_scm_s_cb1_1_led</t>
    <phoneticPr fontId="4"/>
  </si>
  <si>
    <t>scss_mon_scm_s_bc2_1_led</t>
    <phoneticPr fontId="4"/>
  </si>
  <si>
    <t>scss_mon_scm_s_bc2_2_led</t>
    <phoneticPr fontId="4"/>
  </si>
  <si>
    <t>scss_mon_scm_s_bc2_4_led</t>
    <phoneticPr fontId="4"/>
  </si>
  <si>
    <t>scss_mon_scm_s_cb2_1_led</t>
    <phoneticPr fontId="4"/>
  </si>
  <si>
    <t>scss_mon_scm_s_cb3_1_led</t>
    <phoneticPr fontId="4"/>
  </si>
  <si>
    <t>scss_mon_scm_bl1_0_1_led</t>
    <phoneticPr fontId="4"/>
  </si>
  <si>
    <t>scss_mon_scm_bl1_0_2_led</t>
    <phoneticPr fontId="4"/>
  </si>
  <si>
    <t>scss_mon_scm_bl1_0_4_led</t>
    <phoneticPr fontId="4"/>
  </si>
  <si>
    <t>scss_mon_scm_bl1_3_1_1_led</t>
    <phoneticPr fontId="4"/>
  </si>
  <si>
    <t>scss_mon_scm_bl1_3_2_1_led</t>
    <phoneticPr fontId="4"/>
  </si>
  <si>
    <t>scss_mon_scm_s_inj_238_1_screen/position</t>
    <phoneticPr fontId="4"/>
  </si>
  <si>
    <t>scss_mon_scm_s_inj_476_1_screen/position</t>
    <phoneticPr fontId="4"/>
  </si>
  <si>
    <t>scss_mon_scm_s_inj_sb_1_screen/position</t>
    <phoneticPr fontId="4"/>
  </si>
  <si>
    <t>scss_mon_scm_s_bc1_1_screen/position</t>
    <phoneticPr fontId="4"/>
  </si>
  <si>
    <t>scss_mon_scm_s_bc1_2_screen/position</t>
    <phoneticPr fontId="4"/>
  </si>
  <si>
    <t>scss_mon_scm_s_cb1_1_screen/position</t>
    <phoneticPr fontId="4"/>
  </si>
  <si>
    <t>scss_mon_scm_s_bc2_1_screen/position</t>
    <phoneticPr fontId="4"/>
  </si>
  <si>
    <t>scss_mon_scm_s_bc2_2_screen/position</t>
    <phoneticPr fontId="4"/>
  </si>
  <si>
    <t>scss_mon_scm_s_bc2_4_screen/position</t>
    <phoneticPr fontId="4"/>
  </si>
  <si>
    <t>scss_mon_scm_s_cb2_1_screen/position</t>
    <phoneticPr fontId="4"/>
  </si>
  <si>
    <t>scss_mon_scm_s_cb3_1_screen/position</t>
    <phoneticPr fontId="4"/>
  </si>
  <si>
    <t>scss_mon_scm_bl1_0_1_screen/position</t>
    <phoneticPr fontId="4"/>
  </si>
  <si>
    <t>scss_mon_scm_bl1_0_2_screen/position</t>
    <phoneticPr fontId="4"/>
  </si>
  <si>
    <t>scss_mon_scm_bl1_0_4_screen/position</t>
    <phoneticPr fontId="4"/>
  </si>
  <si>
    <t>scss_mon_scm_bl1_3_1_1_screen/position</t>
    <phoneticPr fontId="4"/>
  </si>
  <si>
    <t>scss_mon_scm_bl1_3_2_1_screen/position</t>
    <phoneticPr fontId="4"/>
  </si>
  <si>
    <t>scm-inj-lb-2</t>
    <phoneticPr fontId="4"/>
  </si>
  <si>
    <t>scm-bc1-1</t>
    <phoneticPr fontId="4"/>
  </si>
  <si>
    <t>カメラ故障？シリアル受信失敗 交換済動作試験未だ</t>
    <rPh sb="3" eb="5">
      <t>コショウ</t>
    </rPh>
    <rPh sb="10" eb="12">
      <t>ジュシン</t>
    </rPh>
    <rPh sb="12" eb="14">
      <t>シッパイ</t>
    </rPh>
    <rPh sb="15" eb="18">
      <t>コウカンスミ</t>
    </rPh>
    <rPh sb="18" eb="22">
      <t>ドウサシケン</t>
    </rPh>
    <rPh sb="22" eb="23">
      <t>マ</t>
    </rPh>
    <phoneticPr fontId="4"/>
  </si>
  <si>
    <t>s-inj-238-1</t>
  </si>
  <si>
    <t>s-inj-476-1</t>
  </si>
  <si>
    <t>s-inj-sb-1</t>
  </si>
  <si>
    <t>s-bc1-1</t>
  </si>
  <si>
    <t>s-bc1-2</t>
  </si>
  <si>
    <t>s-bc1-4</t>
  </si>
  <si>
    <t>s-cb1-1</t>
  </si>
  <si>
    <t>scss_mon_scm_bl1_1</t>
    <phoneticPr fontId="4"/>
  </si>
  <si>
    <t>scss_mon_scm_s_bc1_1</t>
    <phoneticPr fontId="4"/>
  </si>
  <si>
    <t>scss_mon_scm_s_inj_238_1_port</t>
    <phoneticPr fontId="4"/>
  </si>
  <si>
    <t>scss_mon_scm_s_inj_476_1_port</t>
    <phoneticPr fontId="4"/>
  </si>
  <si>
    <t>scss_mon_scm_s_inj_sb_1_port</t>
    <phoneticPr fontId="4"/>
  </si>
  <si>
    <t>scss_mon_scm_s_cb1_1_port</t>
    <phoneticPr fontId="4"/>
  </si>
  <si>
    <t>s-bc2-1</t>
  </si>
  <si>
    <t>s-bc2-2</t>
  </si>
  <si>
    <t>s-bc2-4</t>
  </si>
  <si>
    <t>s-cb2-1</t>
  </si>
  <si>
    <t>s-cb3-1</t>
  </si>
  <si>
    <t>bl1-0-1</t>
  </si>
  <si>
    <t>bl1-0-2</t>
  </si>
  <si>
    <t>scss_mon_scm_s_bc2_1_port</t>
  </si>
  <si>
    <t>scss_mon_scm_s_bc2_2_port</t>
  </si>
  <si>
    <t>scss_mon_scm_s_bc2_4_port</t>
    <phoneticPr fontId="4"/>
  </si>
  <si>
    <t>scss_mon_scm_s_cb2_1_port</t>
  </si>
  <si>
    <t>scss_mon_scm_s_cb3_1_port</t>
  </si>
  <si>
    <t>scss_mon_scm_bl1_0_1_port</t>
  </si>
  <si>
    <t>scss_mon_scm_bl1_0_2_port</t>
    <phoneticPr fontId="4"/>
  </si>
  <si>
    <t>scss_mon_scm_bl1_0_4_port</t>
    <phoneticPr fontId="4"/>
  </si>
  <si>
    <t>bl1-0-4</t>
  </si>
  <si>
    <t>bl1-3-1-1</t>
  </si>
  <si>
    <t>bl1-3-2-1</t>
  </si>
  <si>
    <t>bl1-3-2-2</t>
  </si>
  <si>
    <t>scss_mon_scm_bl1_3_1_1_port</t>
  </si>
  <si>
    <t>scss_mon_scm_bl1_3_2_1_port</t>
  </si>
  <si>
    <t>scss_mon_scm_bl1_3_2_2_port</t>
  </si>
  <si>
    <t>scimg-s-cb2-1-01</t>
    <phoneticPr fontId="4"/>
  </si>
  <si>
    <t>scss_mon_scm_s_bc1_4</t>
    <phoneticPr fontId="4"/>
  </si>
  <si>
    <t>scss_mon_scm_s_bc1_4_screen/position</t>
  </si>
  <si>
    <t>scss_mon_scm_s_bc1_4</t>
  </si>
  <si>
    <t>scss_mon_scm_s_bc1_4_led</t>
  </si>
  <si>
    <t>scss_mon_scm_bl1_3_2_2_screen/position</t>
    <phoneticPr fontId="4"/>
  </si>
  <si>
    <t>scss_mon_scm_bl1_3_2_2</t>
    <phoneticPr fontId="4"/>
  </si>
  <si>
    <t>scss_mon_scm_bl1_0_1_screen/clear</t>
    <phoneticPr fontId="4"/>
  </si>
  <si>
    <t>scss_mon_scm_bl1_0_2_screen/clear</t>
    <phoneticPr fontId="4"/>
  </si>
  <si>
    <t>scss_mon_scm_bl1_0_4_screen/clear</t>
    <phoneticPr fontId="4"/>
  </si>
  <si>
    <t>scss_mon_scm_bl1_0_2_screen/insert</t>
    <phoneticPr fontId="4"/>
  </si>
  <si>
    <t>scss_mon_scm_bl1_0_4_screen/insert</t>
    <phoneticPr fontId="4"/>
  </si>
  <si>
    <t>scss_mon_scm_bl1_3_1_1_screen/clear</t>
    <phoneticPr fontId="4"/>
  </si>
  <si>
    <t>scss_mon_scm_bl1_3_2_1_screen/clear</t>
    <phoneticPr fontId="4"/>
  </si>
  <si>
    <t>scss_mon_scm_bl1_3_2_2_screen/clear</t>
    <phoneticPr fontId="4"/>
  </si>
  <si>
    <t>scss_mon_scm_bl1_3_1_1_screen/insert</t>
    <phoneticPr fontId="4"/>
  </si>
  <si>
    <t>scss_mon_scm_bl1_3_2_1_screen/insert1</t>
    <phoneticPr fontId="4"/>
  </si>
  <si>
    <t>scss_mon_scm_bl1_3_2_2_screen/insert1</t>
    <phoneticPr fontId="4"/>
  </si>
  <si>
    <t>scss_mon_scm_bl1_3_2_1_screen/insert2</t>
    <phoneticPr fontId="4"/>
  </si>
  <si>
    <t>scss_mon_scm_bl1_3_2_2_screen/insert2</t>
    <phoneticPr fontId="4"/>
  </si>
  <si>
    <t>scss_mon_scm_bl1_0_1_screen/insert2</t>
    <phoneticPr fontId="4"/>
  </si>
  <si>
    <t>scss_mon_scm_bl1_0_1_screen/insert1</t>
    <phoneticPr fontId="4"/>
  </si>
  <si>
    <t>scss_mon_scm_bl1_0_1_ccd</t>
    <phoneticPr fontId="4"/>
  </si>
  <si>
    <t>scss_mon_scm_bl1_0_2_ccd</t>
    <phoneticPr fontId="4"/>
  </si>
  <si>
    <t>scss_mon_scm_bl1_0_4_ccd</t>
    <phoneticPr fontId="4"/>
  </si>
  <si>
    <t>scss_mon_scm_bl1_0_1_iris</t>
    <phoneticPr fontId="4"/>
  </si>
  <si>
    <t>scss_mon_scm_bl1_0_2_iris</t>
    <phoneticPr fontId="4"/>
  </si>
  <si>
    <t>scss_mon_scm_bl1_0_4_iris</t>
    <phoneticPr fontId="4"/>
  </si>
  <si>
    <t>scss_mon_scm_bl1_3_1_1_ccd</t>
    <phoneticPr fontId="4"/>
  </si>
  <si>
    <t>scss_mon_scm_bl1_3_1_1_iris</t>
    <phoneticPr fontId="4"/>
  </si>
  <si>
    <t>scss_mon_scm_bl1_3_2_1_ccd</t>
    <phoneticPr fontId="4"/>
  </si>
  <si>
    <t>scss_mon_scm_bl1_3_2_1_iris</t>
    <phoneticPr fontId="4"/>
  </si>
  <si>
    <t>scss_mon_scm_bl1_3_2_2_iris</t>
    <phoneticPr fontId="4"/>
  </si>
  <si>
    <t>scss_mon_scm_bl1_3_2_2_ccd</t>
    <phoneticPr fontId="4"/>
  </si>
  <si>
    <t>s-inj-238-1</t>
    <phoneticPr fontId="4"/>
  </si>
  <si>
    <t>scss_mon_scm_s_inj_238_1_screen/clear</t>
    <phoneticPr fontId="4"/>
  </si>
  <si>
    <t>scss_mon_scm_s_inj_238_1_screen/insert</t>
    <phoneticPr fontId="4"/>
  </si>
  <si>
    <t>scss_mon_scm_s_inj_238_1_ccd</t>
    <phoneticPr fontId="4"/>
  </si>
  <si>
    <t>scss_mon_scm_s_inj_238_1_iris</t>
    <phoneticPr fontId="4"/>
  </si>
  <si>
    <t>scss_mon_scm_s_inj_476_1_ccd</t>
    <phoneticPr fontId="4"/>
  </si>
  <si>
    <t>scss_mon_scm_s_inj_sb_1_ccd</t>
    <phoneticPr fontId="4"/>
  </si>
  <si>
    <t>scss_mon_scm_s_bc1_1_ccd</t>
    <phoneticPr fontId="4"/>
  </si>
  <si>
    <t>scss_mon_scm_s_bc1_2_ccd</t>
    <phoneticPr fontId="4"/>
  </si>
  <si>
    <t>scss_mon_scm_s_bc1_4_ccd</t>
    <phoneticPr fontId="4"/>
  </si>
  <si>
    <t>scss_mon_scm_s_cb1_1_ccd</t>
    <phoneticPr fontId="4"/>
  </si>
  <si>
    <t>scss_mon_scm_s_bc2_1_ccd</t>
    <phoneticPr fontId="4"/>
  </si>
  <si>
    <t>scss_mon_scm_s_bc2_2_ccd</t>
    <phoneticPr fontId="4"/>
  </si>
  <si>
    <t>scss_mon_scm_s_bc2_4_ccd</t>
    <phoneticPr fontId="4"/>
  </si>
  <si>
    <t>scss_mon_scm_s_cb2_1_ccd</t>
    <phoneticPr fontId="4"/>
  </si>
  <si>
    <t>scss_mon_scm_s_cb3_1_ccd</t>
    <phoneticPr fontId="4"/>
  </si>
  <si>
    <t>scss_mon_scm_s_inj_476_1_iris</t>
    <phoneticPr fontId="4"/>
  </si>
  <si>
    <t>scss_mon_scm_s_inj_sb_1_iris</t>
    <phoneticPr fontId="4"/>
  </si>
  <si>
    <t>scss_mon_scm_s_bc1_1_iris</t>
    <phoneticPr fontId="4"/>
  </si>
  <si>
    <t>scss_mon_scm_s_bc1_2_iris</t>
    <phoneticPr fontId="4"/>
  </si>
  <si>
    <t>scss_mon_scm_s_bc1_4_iris</t>
    <phoneticPr fontId="4"/>
  </si>
  <si>
    <t>scss_mon_scm_s_cb1_1_iris</t>
    <phoneticPr fontId="4"/>
  </si>
  <si>
    <t>scss_mon_scm_s_bc2_1_iris</t>
    <phoneticPr fontId="4"/>
  </si>
  <si>
    <t>scss_mon_scm_s_bc2_2_iris</t>
    <phoneticPr fontId="4"/>
  </si>
  <si>
    <t>scss_mon_scm_s_bc2_4_iris</t>
    <phoneticPr fontId="4"/>
  </si>
  <si>
    <t>scss_mon_scm_s_cb2_1_iris</t>
    <phoneticPr fontId="4"/>
  </si>
  <si>
    <t>scss_mon_scm_s_cb3_1_iris</t>
    <phoneticPr fontId="4"/>
  </si>
  <si>
    <t>scss_mon_scm_s_inj_476_1_screen/clear</t>
    <phoneticPr fontId="4"/>
  </si>
  <si>
    <t>scss_mon_scm_s_inj_sb_1_screen/clear</t>
    <phoneticPr fontId="4"/>
  </si>
  <si>
    <t>scss_mon_scm_s_bc1_1_screen/clear</t>
    <phoneticPr fontId="4"/>
  </si>
  <si>
    <t>scss_mon_scm_s_bc1_2_screen/clear</t>
    <phoneticPr fontId="4"/>
  </si>
  <si>
    <t>scss_mon_scm_s_bc1_4_screen/clear</t>
    <phoneticPr fontId="4"/>
  </si>
  <si>
    <t>scss_mon_scm_s_cb1_1_screen/clear</t>
    <phoneticPr fontId="4"/>
  </si>
  <si>
    <t>scss_mon_scm_s_bc2_1_screen/clear</t>
    <phoneticPr fontId="4"/>
  </si>
  <si>
    <t>scss_mon_scm_s_bc2_2_screen/clear</t>
    <phoneticPr fontId="4"/>
  </si>
  <si>
    <t>scss_mon_scm_s_bc2_4_screen/clear</t>
    <phoneticPr fontId="4"/>
  </si>
  <si>
    <t>scss_mon_scm_s_cb2_1_screen/clear</t>
    <phoneticPr fontId="4"/>
  </si>
  <si>
    <t>scss_mon_scm_s_cb3_1_screen/clear</t>
    <phoneticPr fontId="4"/>
  </si>
  <si>
    <t>scss_mon_scm_s_inj_476_1_screen/insert</t>
    <phoneticPr fontId="4"/>
  </si>
  <si>
    <t>scss_mon_scm_s_inj_sb_1_screen/insert</t>
    <phoneticPr fontId="4"/>
  </si>
  <si>
    <t>scss_mon_scm_s_bc1_1_screen/insert</t>
    <phoneticPr fontId="4"/>
  </si>
  <si>
    <t>scss_mon_scm_s_bc1_2_screen/insert</t>
    <phoneticPr fontId="4"/>
  </si>
  <si>
    <t>scss_mon_scm_s_bc1_4_screen/insert</t>
    <phoneticPr fontId="4"/>
  </si>
  <si>
    <t>scss_mon_scm_s_bc2_2_screen/insert</t>
    <phoneticPr fontId="4"/>
  </si>
  <si>
    <t>scss_mon_scm_s_cb1_1_screen/insert2</t>
    <phoneticPr fontId="4"/>
  </si>
  <si>
    <t>scss_mon_scm_s_bc2_1_screen/insert2</t>
    <phoneticPr fontId="4"/>
  </si>
  <si>
    <t>scss_mon_scm_s_bc2_4_screen/insert2</t>
    <phoneticPr fontId="4"/>
  </si>
  <si>
    <t>scss_mon_scm_s_cb2_1_screen/insert2</t>
    <phoneticPr fontId="4"/>
  </si>
  <si>
    <t>scss_mon_scm_s_cb3_1_screen/insert2</t>
    <phoneticPr fontId="4"/>
  </si>
  <si>
    <t>scss_mon_scm_s_cb1_1_screen/insert1</t>
    <phoneticPr fontId="4"/>
  </si>
  <si>
    <t>scss_mon_scm_s_bc2_1_screen/insert1</t>
    <phoneticPr fontId="4"/>
  </si>
  <si>
    <t>scss_mon_scm_s_bc2_4_screen/insert1</t>
    <phoneticPr fontId="4"/>
  </si>
  <si>
    <t>scss_mon_scm_s_cb2_1_screen/insert1</t>
    <phoneticPr fontId="4"/>
  </si>
  <si>
    <t>scss_mon_scm_s_cb3_1_screen/insert1</t>
    <phoneticPr fontId="4"/>
  </si>
  <si>
    <t>scss_mon_scm_s_cb2_1_1</t>
    <phoneticPr fontId="4"/>
  </si>
  <si>
    <t>scss_mon_scm_s_bc1_1_port</t>
    <phoneticPr fontId="4"/>
  </si>
  <si>
    <t>scss_mon_scm_s_bc1_2_port</t>
    <phoneticPr fontId="4"/>
  </si>
  <si>
    <t>scss_mon_scm_s_bc1_4_port</t>
    <phoneticPr fontId="4"/>
  </si>
  <si>
    <t>bl1-0-3</t>
    <phoneticPr fontId="4"/>
  </si>
  <si>
    <t>切替え</t>
    <rPh sb="0" eb="2">
      <t>キリカ</t>
    </rPh>
    <phoneticPr fontId="4"/>
  </si>
  <si>
    <t>インサート</t>
    <phoneticPr fontId="4"/>
  </si>
  <si>
    <t>LED点灯</t>
    <rPh sb="3" eb="5">
      <t>テントウ</t>
    </rPh>
    <phoneticPr fontId="4"/>
  </si>
  <si>
    <t>収集</t>
    <rPh sb="0" eb="2">
      <t>シュウシュウ</t>
    </rPh>
    <phoneticPr fontId="4"/>
  </si>
  <si>
    <t>ゲイン</t>
    <phoneticPr fontId="4"/>
  </si>
  <si>
    <t>露光</t>
    <rPh sb="0" eb="2">
      <t>ロコウ</t>
    </rPh>
    <phoneticPr fontId="4"/>
  </si>
  <si>
    <t>クリア</t>
    <phoneticPr fontId="4"/>
  </si>
  <si>
    <t>怪しいい、テーブルは変わる</t>
    <rPh sb="0" eb="1">
      <t>アヤ</t>
    </rPh>
    <rPh sb="10" eb="11">
      <t>カ</t>
    </rPh>
    <phoneticPr fontId="4"/>
  </si>
  <si>
    <t>scss_mon_scm_bl1_3_2_2_led</t>
    <phoneticPr fontId="4"/>
  </si>
  <si>
    <t>scss_mon_scm_bl1_3_2_2</t>
    <phoneticPr fontId="4"/>
  </si>
  <si>
    <t>カメラ背面の
ステータスLEDの状態</t>
    <rPh sb="3" eb="5">
      <t>ハイメン</t>
    </rPh>
    <rPh sb="16" eb="18">
      <t>ジョウタイ</t>
    </rPh>
    <phoneticPr fontId="4"/>
  </si>
  <si>
    <t>ステージ</t>
    <phoneticPr fontId="4"/>
  </si>
  <si>
    <t>　左下オレンジ点滅はGrab Start状態の意味</t>
    <rPh sb="20" eb="22">
      <t>ジョウタイ</t>
    </rPh>
    <rPh sb="23" eb="25">
      <t>イミ</t>
    </rPh>
    <phoneticPr fontId="4"/>
  </si>
  <si>
    <t>左下オレンジ点灯</t>
    <phoneticPr fontId="4"/>
  </si>
  <si>
    <t>カメラなし</t>
    <phoneticPr fontId="4"/>
  </si>
  <si>
    <t>f127-&gt;カメラ交換</t>
    <rPh sb="9" eb="11">
      <t>コウカン</t>
    </rPh>
    <phoneticPr fontId="4"/>
  </si>
  <si>
    <t>scm-bl2-1</t>
  </si>
  <si>
    <t>f127-&gt;カメラ交換したが復旧せず
延長期リブートで復旧</t>
    <rPh sb="9" eb="11">
      <t>コウカン</t>
    </rPh>
    <rPh sb="14" eb="16">
      <t>フッキュウ</t>
    </rPh>
    <rPh sb="19" eb="22">
      <t>エンチョウキ</t>
    </rPh>
    <rPh sb="27" eb="29">
      <t>フッキュウ</t>
    </rPh>
    <phoneticPr fontId="4"/>
  </si>
  <si>
    <t>f127　翌日見えるようになった</t>
    <rPh sb="5" eb="7">
      <t>ヨクジツ</t>
    </rPh>
    <rPh sb="7" eb="8">
      <t>ミ</t>
    </rPh>
    <phoneticPr fontId="4"/>
  </si>
  <si>
    <t>scm position statusがインサートしてからAbnormalに　-&gt; INSERT/CLEARし直したらなおった</t>
    <rPh sb="55" eb="56">
      <t>ナオ</t>
    </rPh>
    <phoneticPr fontId="4"/>
  </si>
  <si>
    <t>コメント</t>
    <phoneticPr fontId="4"/>
  </si>
  <si>
    <t xml:space="preserve">LED,INSERT反応なし、現場LEDはついている -&gt; NDフィルタが取れ掛かっていた </t>
    <rPh sb="10" eb="12">
      <t>ハンノウ</t>
    </rPh>
    <rPh sb="15" eb="17">
      <t>ゲンバ</t>
    </rPh>
    <rPh sb="37" eb="38">
      <t>ト</t>
    </rPh>
    <rPh sb="39" eb="40">
      <t>カ</t>
    </rPh>
    <phoneticPr fontId="4"/>
  </si>
  <si>
    <t>強いNDなので減光が強すぎてLEDで反応ない、ND外したら反応があることは確かめた</t>
    <rPh sb="0" eb="1">
      <t>ツヨ</t>
    </rPh>
    <rPh sb="25" eb="26">
      <t>ハズ</t>
    </rPh>
    <rPh sb="29" eb="31">
      <t>ハンノウ</t>
    </rPh>
    <rPh sb="37" eb="38">
      <t>タシ</t>
    </rPh>
    <phoneticPr fontId="4"/>
  </si>
  <si>
    <t>BICおかしい　ステータス変、リモートコントロール不可</t>
    <rPh sb="13" eb="14">
      <t>ヘン</t>
    </rPh>
    <rPh sb="25" eb="27">
      <t>フカ</t>
    </rPh>
    <phoneticPr fontId="4"/>
  </si>
  <si>
    <t>レンズに小さい穴の開いた蓋がついてる減光してるためLED反応しない</t>
    <rPh sb="4" eb="5">
      <t>チイ</t>
    </rPh>
    <rPh sb="7" eb="8">
      <t>アナ</t>
    </rPh>
    <rPh sb="9" eb="10">
      <t>ア</t>
    </rPh>
    <rPh sb="12" eb="13">
      <t>フタ</t>
    </rPh>
    <rPh sb="18" eb="20">
      <t>ゲンコウ</t>
    </rPh>
    <rPh sb="28" eb="30">
      <t>ハンノウ</t>
    </rPh>
    <phoneticPr fontId="4"/>
  </si>
  <si>
    <t>PSI方式で傾けているのでLED反応なし</t>
    <rPh sb="3" eb="5">
      <t>ホウシキ</t>
    </rPh>
    <rPh sb="6" eb="7">
      <t>カタム</t>
    </rPh>
    <rPh sb="16" eb="18">
      <t>ハンノウ</t>
    </rPh>
    <phoneticPr fontId="4"/>
  </si>
  <si>
    <t>SCSS+ 238, 476 の四隅のポチ間隔は6mm、斜め45度になってるので横の長さと縦の長さが違うが、ビームは正常に見える。縦のポチ間隔でピクセルサイズ算出</t>
    <rPh sb="16" eb="18">
      <t>ヨスミ</t>
    </rPh>
    <rPh sb="21" eb="23">
      <t>カンカク</t>
    </rPh>
    <rPh sb="28" eb="29">
      <t>ナナ</t>
    </rPh>
    <rPh sb="32" eb="33">
      <t>ド</t>
    </rPh>
    <rPh sb="40" eb="41">
      <t>ヨコ</t>
    </rPh>
    <rPh sb="42" eb="43">
      <t>ナガ</t>
    </rPh>
    <rPh sb="45" eb="46">
      <t>タテ</t>
    </rPh>
    <rPh sb="47" eb="48">
      <t>ナガ</t>
    </rPh>
    <rPh sb="50" eb="51">
      <t>チガ</t>
    </rPh>
    <rPh sb="58" eb="60">
      <t>セイジョウ</t>
    </rPh>
    <rPh sb="61" eb="62">
      <t>ミ</t>
    </rPh>
    <rPh sb="65" eb="66">
      <t>タテ</t>
    </rPh>
    <rPh sb="69" eb="71">
      <t>カンカク</t>
    </rPh>
    <rPh sb="79" eb="81">
      <t>サンシュツ</t>
    </rPh>
    <phoneticPr fontId="4"/>
  </si>
  <si>
    <t>default_delay</t>
    <phoneticPr fontId="4"/>
  </si>
  <si>
    <t>default_mdaq_remainder</t>
    <phoneticPr fontId="4"/>
  </si>
  <si>
    <t>default_iris</t>
    <phoneticPr fontId="4"/>
  </si>
  <si>
    <t>default_sigmahikari</t>
    <phoneticPr fontId="4"/>
  </si>
  <si>
    <t>default_sigmanoize</t>
    <phoneticPr fontId="4"/>
  </si>
  <si>
    <t>xfel_mon_scm_inj_lb_1_screen/clear</t>
    <phoneticPr fontId="4"/>
  </si>
  <si>
    <t>xfel_mon_scm_inj_lb_1_screen/insert</t>
    <phoneticPr fontId="4"/>
  </si>
  <si>
    <t>xfel_mon_scm_inj_lb_1_ccd</t>
    <phoneticPr fontId="4"/>
  </si>
  <si>
    <t>xfel_mon_scm_inj_lb_1_iris</t>
    <phoneticPr fontId="4"/>
  </si>
  <si>
    <t>xfel_mon_scm_inj_lb_2_screen/clear</t>
    <phoneticPr fontId="4"/>
  </si>
  <si>
    <t>xfel_mon_scm_inj_lb_2_screen/insert</t>
    <phoneticPr fontId="4"/>
  </si>
  <si>
    <t>xfel_mon_scm_inj_lb_2_ccd</t>
    <phoneticPr fontId="4"/>
  </si>
  <si>
    <t>xfel_mon_scm_inj_lb_2_iris</t>
    <phoneticPr fontId="4"/>
  </si>
  <si>
    <t>xfel_mon_scm_bc1_1_screen/clear</t>
    <phoneticPr fontId="4"/>
  </si>
  <si>
    <t>xfel_mon_scm_bc1_1_screen/insert</t>
    <phoneticPr fontId="4"/>
  </si>
  <si>
    <t>xfel_mon_scm_bc1_1_ccd</t>
    <phoneticPr fontId="4"/>
  </si>
  <si>
    <t>xfel_mon_scm_bc1_1_iris</t>
    <phoneticPr fontId="4"/>
  </si>
  <si>
    <t>xfel_mon_scm_bc1_2_screen/clear</t>
    <phoneticPr fontId="4"/>
  </si>
  <si>
    <t>xfel_mon_scm_bc1_2_screen/insert</t>
    <phoneticPr fontId="4"/>
  </si>
  <si>
    <t>xfel_mon_scm_bc1_2_ccd</t>
    <phoneticPr fontId="4"/>
  </si>
  <si>
    <t>xfel_mon_scm_bc1_2_iris</t>
    <phoneticPr fontId="4"/>
  </si>
  <si>
    <t>xfel_mon_scm_bc1_4_screen/insert</t>
    <phoneticPr fontId="4"/>
  </si>
  <si>
    <t>xfel_mon_scm_bc1_4_ccd</t>
    <phoneticPr fontId="4"/>
  </si>
  <si>
    <t>xfel_mon_scm_bc1_4_iris</t>
    <phoneticPr fontId="4"/>
  </si>
  <si>
    <t>xfel_mon_scm_bc1_4_screen/clear</t>
    <phoneticPr fontId="4"/>
  </si>
  <si>
    <t>xfel_mon_scm_inj_lb_1_led</t>
    <phoneticPr fontId="4"/>
  </si>
  <si>
    <t>xfel_mon_scm_inj_lb_1_screen/position</t>
    <phoneticPr fontId="4"/>
  </si>
  <si>
    <t>xfel_mon_scm_inj_lb_1</t>
    <phoneticPr fontId="4"/>
  </si>
  <si>
    <t>xfel_mon_scm_inj_lb_2_led</t>
    <phoneticPr fontId="4"/>
  </si>
  <si>
    <t>xfel_mon_scm_inj_lb_2_screen/position</t>
    <phoneticPr fontId="4"/>
  </si>
  <si>
    <t>xfel_mon_scm_inj_lb_2</t>
    <phoneticPr fontId="4"/>
  </si>
  <si>
    <t>xfel_mon_scm_bc1_1_led</t>
    <phoneticPr fontId="4"/>
  </si>
  <si>
    <t>xfel_mon_scm_bc1_1_screen/position</t>
    <phoneticPr fontId="4"/>
  </si>
  <si>
    <t>xfel_mon_scm_bc1_1</t>
    <phoneticPr fontId="4"/>
  </si>
  <si>
    <t>xfel_mon_scm_bc1_2_led</t>
    <phoneticPr fontId="4"/>
  </si>
  <si>
    <t>xfel_mon_scm_bc1_2_screen/position</t>
    <phoneticPr fontId="4"/>
  </si>
  <si>
    <t>xfel_mon_scm_bc1_2</t>
    <phoneticPr fontId="4"/>
  </si>
  <si>
    <t>xfel_mon_scm_bc1_4_led</t>
    <phoneticPr fontId="4"/>
  </si>
  <si>
    <t>xfel_mon_scm_bc1_4_screen/position</t>
    <phoneticPr fontId="4"/>
  </si>
  <si>
    <t>xfel_mon_scm_bc1_4</t>
    <phoneticPr fontId="4"/>
  </si>
  <si>
    <t>scm-bc1-2</t>
    <phoneticPr fontId="4"/>
  </si>
  <si>
    <t>故障、カメラ交換</t>
    <rPh sb="0" eb="2">
      <t>コショウ</t>
    </rPh>
    <rPh sb="6" eb="8">
      <t>コウカン</t>
    </rPh>
    <phoneticPr fontId="4"/>
  </si>
  <si>
    <t>scm-bl3-0-1</t>
    <phoneticPr fontId="4"/>
  </si>
  <si>
    <t>ヨコシマ リブートで治った</t>
    <rPh sb="10" eb="11">
      <t>ナオ</t>
    </rPh>
    <phoneticPr fontId="4"/>
  </si>
  <si>
    <t>画像更新せず　カメラ交換</t>
    <rPh sb="0" eb="4">
      <t>ガゾウコウシン</t>
    </rPh>
    <rPh sb="10" eb="12">
      <t>コウカン</t>
    </rPh>
    <phoneticPr fontId="4"/>
  </si>
  <si>
    <t>f127-&gt;カメラ交換したが復旧せず　使わないのでこれ以上の対処はしない</t>
    <rPh sb="9" eb="11">
      <t>コウカン</t>
    </rPh>
    <rPh sb="14" eb="16">
      <t>フッキュウ</t>
    </rPh>
    <rPh sb="19" eb="20">
      <t>ツカ</t>
    </rPh>
    <rPh sb="27" eb="29">
      <t>イジョウ</t>
    </rPh>
    <rPh sb="30" eb="32">
      <t>タイショ</t>
    </rPh>
    <phoneticPr fontId="4"/>
  </si>
  <si>
    <t>xfel_mon_scm_ms_1_screen/clear</t>
    <phoneticPr fontId="4"/>
  </si>
  <si>
    <t>xfel_mon_scm_ms_1_screen/insert</t>
    <phoneticPr fontId="4"/>
  </si>
  <si>
    <t>xfel_mon_scm_ms_1_ccd</t>
    <phoneticPr fontId="4"/>
  </si>
  <si>
    <t>xfel_mon_scm_ms_1_iris</t>
    <phoneticPr fontId="4"/>
  </si>
  <si>
    <t>xfel_mon_scm_ms_1_led</t>
    <phoneticPr fontId="4"/>
  </si>
  <si>
    <t>xfel_mon_scm_ms_1_screen/position</t>
    <phoneticPr fontId="4"/>
  </si>
  <si>
    <t>xfel_mon_scm_ms_1</t>
    <phoneticPr fontId="4"/>
  </si>
  <si>
    <t>新規追加   2段式(OTR)　PSI方式　CCDステージのみ</t>
    <rPh sb="0" eb="2">
      <t>シンキ</t>
    </rPh>
    <rPh sb="2" eb="4">
      <t>ツイカ</t>
    </rPh>
    <rPh sb="8" eb="10">
      <t>ダンシキ</t>
    </rPh>
    <rPh sb="19" eb="21">
      <t>ホウシキ</t>
    </rPh>
    <phoneticPr fontId="4"/>
  </si>
  <si>
    <t>ip</t>
    <phoneticPr fontId="4"/>
  </si>
  <si>
    <t>192.168.1.1</t>
    <phoneticPr fontId="4"/>
  </si>
  <si>
    <t>192.168.2.1</t>
    <phoneticPr fontId="4"/>
  </si>
  <si>
    <t>192.168.3.1</t>
    <phoneticPr fontId="4"/>
  </si>
  <si>
    <t>192.168.4.1</t>
    <phoneticPr fontId="4"/>
  </si>
  <si>
    <t>192.168.5.1</t>
    <phoneticPr fontId="4"/>
  </si>
  <si>
    <t>192.168.6.1</t>
    <phoneticPr fontId="4"/>
  </si>
  <si>
    <t>192.168.7.1</t>
    <phoneticPr fontId="4"/>
  </si>
  <si>
    <t>192.168.8.1</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</si>
</sst>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411]#,##0;[Red]&quot;-&quot;[$￥-411]#,##0"/>
  </numFmts>
  <fonts count="76">
    <font>
      <sz val="9"/>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font>
    <font>
      <sz val="9"/>
      <color indexed="12"/>
      <name val="ＭＳ Ｐゴシック"/>
      <family val="3"/>
      <charset val="128"/>
    </font>
    <font>
      <sz val="9"/>
      <color rgb="FF000000"/>
      <name val="ＭＳ Ｐゴシック"/>
      <family val="3"/>
      <charset val="128"/>
    </font>
    <font>
      <sz val="9"/>
      <color rgb="FF000000"/>
      <name val="Courier New"/>
      <family val="3"/>
    </font>
    <font>
      <sz val="9"/>
      <color indexed="81"/>
      <name val="ＭＳ Ｐゴシック"/>
      <family val="3"/>
      <charset val="128"/>
    </font>
    <font>
      <b/>
      <sz val="9"/>
      <color indexed="81"/>
      <name val="ＭＳ Ｐゴシック"/>
      <family val="3"/>
      <charset val="128"/>
    </font>
    <font>
      <sz val="10"/>
      <name val="ＭＳ Ｐゴシック"/>
      <family val="3"/>
      <charset val="128"/>
    </font>
    <font>
      <sz val="10"/>
      <color indexed="12"/>
      <name val="ＭＳ Ｐゴシック"/>
      <family val="3"/>
      <charset val="128"/>
    </font>
    <font>
      <sz val="10"/>
      <color rgb="FF969696"/>
      <name val="ＭＳ Ｐゴシック"/>
      <family val="3"/>
      <charset val="128"/>
    </font>
    <font>
      <sz val="10"/>
      <color indexed="12"/>
      <name val="ＭＳ Ｐゴシック"/>
      <family val="3"/>
      <charset val="128"/>
      <scheme val="minor"/>
    </font>
    <font>
      <sz val="11"/>
      <name val="ＭＳ Ｐゴシック"/>
      <family val="3"/>
      <charset val="128"/>
    </font>
    <font>
      <sz val="10"/>
      <color indexed="8"/>
      <name val="ＭＳ Ｐゴシック"/>
      <family val="3"/>
      <charset val="128"/>
    </font>
    <font>
      <sz val="9"/>
      <color indexed="8"/>
      <name val="ＭＳ Ｐゴシック"/>
      <family val="3"/>
      <charset val="128"/>
    </font>
    <font>
      <sz val="10"/>
      <color indexed="8"/>
      <name val="ＭＳ Ｐゴシック"/>
      <family val="3"/>
      <charset val="128"/>
      <scheme val="minor"/>
    </font>
    <font>
      <sz val="9"/>
      <color rgb="FF969696"/>
      <name val="ＭＳ Ｐゴシック"/>
      <family val="3"/>
      <charset val="128"/>
    </font>
    <font>
      <sz val="10"/>
      <color rgb="FF0000FF"/>
      <name val="ＭＳ Ｐゴシック"/>
      <family val="3"/>
      <charset val="128"/>
    </font>
    <font>
      <sz val="11"/>
      <color indexed="8"/>
      <name val="ＭＳ Ｐゴシック"/>
      <family val="2"/>
      <charset val="128"/>
    </font>
    <font>
      <b/>
      <sz val="11"/>
      <color indexed="8"/>
      <name val="ＭＳ Ｐゴシック"/>
      <family val="3"/>
      <charset val="128"/>
    </font>
    <font>
      <sz val="11"/>
      <color indexed="8"/>
      <name val="ＭＳ Ｐゴシック"/>
      <family val="3"/>
      <charset val="128"/>
    </font>
    <font>
      <sz val="11"/>
      <color indexed="10"/>
      <name val="ＭＳ Ｐゴシック"/>
      <family val="3"/>
      <charset val="128"/>
    </font>
    <font>
      <sz val="11"/>
      <color indexed="9"/>
      <name val="ＭＳ Ｐゴシック"/>
      <family val="3"/>
      <charset val="128"/>
    </font>
    <font>
      <b/>
      <sz val="18"/>
      <color indexed="62"/>
      <name val="ＭＳ Ｐゴシック"/>
      <family val="3"/>
      <charset val="128"/>
    </font>
    <font>
      <b/>
      <sz val="13"/>
      <color indexed="62"/>
      <name val="ＭＳ Ｐゴシック"/>
      <family val="3"/>
      <charset val="128"/>
    </font>
    <font>
      <b/>
      <sz val="11"/>
      <color indexed="52"/>
      <name val="ＭＳ Ｐゴシック"/>
      <family val="3"/>
      <charset val="128"/>
    </font>
    <font>
      <sz val="11"/>
      <color indexed="62"/>
      <name val="ＭＳ Ｐゴシック"/>
      <family val="3"/>
      <charset val="128"/>
    </font>
    <font>
      <sz val="11"/>
      <color indexed="60"/>
      <name val="ＭＳ Ｐゴシック"/>
      <family val="3"/>
      <charset val="128"/>
    </font>
    <font>
      <i/>
      <sz val="11"/>
      <color indexed="23"/>
      <name val="ＭＳ Ｐゴシック"/>
      <family val="3"/>
      <charset val="128"/>
    </font>
    <font>
      <sz val="11"/>
      <color indexed="17"/>
      <name val="ＭＳ Ｐゴシック"/>
      <family val="3"/>
      <charset val="128"/>
    </font>
    <font>
      <b/>
      <sz val="11"/>
      <color indexed="62"/>
      <name val="ＭＳ Ｐゴシック"/>
      <family val="3"/>
      <charset val="128"/>
    </font>
    <font>
      <sz val="11"/>
      <color indexed="52"/>
      <name val="ＭＳ Ｐゴシック"/>
      <family val="3"/>
      <charset val="128"/>
    </font>
    <font>
      <b/>
      <sz val="11"/>
      <color indexed="63"/>
      <name val="ＭＳ Ｐゴシック"/>
      <family val="3"/>
      <charset val="128"/>
    </font>
    <font>
      <sz val="11"/>
      <color indexed="36"/>
      <name val="ＭＳ Ｐゴシック"/>
      <family val="3"/>
      <charset val="128"/>
    </font>
    <font>
      <b/>
      <sz val="11"/>
      <color indexed="9"/>
      <name val="ＭＳ Ｐゴシック"/>
      <family val="3"/>
      <charset val="128"/>
    </font>
    <font>
      <b/>
      <sz val="15"/>
      <color indexed="62"/>
      <name val="ＭＳ Ｐゴシック"/>
      <family val="3"/>
      <charset val="128"/>
    </font>
    <font>
      <sz val="9"/>
      <color theme="0" tint="-0.34998626667073579"/>
      <name val="ＭＳ Ｐゴシック"/>
      <family val="3"/>
      <charset val="128"/>
    </font>
    <font>
      <sz val="9"/>
      <color theme="0" tint="-0.499984740745262"/>
      <name val="ＭＳ Ｐゴシック"/>
      <family val="3"/>
      <charset val="128"/>
    </font>
    <font>
      <sz val="9"/>
      <color indexed="8"/>
      <name val="MS Mincho"/>
      <family val="1"/>
    </font>
    <font>
      <sz val="9"/>
      <color rgb="FF969696"/>
      <name val="MS Mincho"/>
      <family val="1"/>
    </font>
    <font>
      <sz val="9"/>
      <color indexed="12"/>
      <name val="MS Mincho"/>
      <family val="1"/>
    </font>
    <font>
      <sz val="11"/>
      <color indexed="12"/>
      <name val="ＭＳ Ｐゴシック"/>
      <family val="2"/>
      <charset val="128"/>
      <scheme val="minor"/>
    </font>
    <font>
      <b/>
      <sz val="9"/>
      <color indexed="81"/>
      <name val="MS P ゴシック"/>
      <family val="3"/>
      <charset val="128"/>
    </font>
    <font>
      <sz val="9"/>
      <color indexed="12"/>
      <name val="Arial Unicode MS"/>
      <family val="2"/>
    </font>
    <font>
      <sz val="11"/>
      <name val="ＭＳ Ｐ明朝"/>
      <family val="1"/>
      <charset val="128"/>
    </font>
    <font>
      <sz val="11"/>
      <color theme="1"/>
      <name val="ＭＳ Ｐ明朝"/>
      <family val="1"/>
      <charset val="128"/>
    </font>
    <font>
      <sz val="10"/>
      <color rgb="FF969696"/>
      <name val="ＭＳ Ｐゴシック"/>
      <family val="3"/>
      <charset val="128"/>
      <scheme val="minor"/>
    </font>
    <font>
      <sz val="6"/>
      <name val="游ゴシック Medium"/>
      <family val="2"/>
      <charset val="128"/>
    </font>
    <font>
      <sz val="9"/>
      <name val="ＭＳ Ｐ明朝"/>
      <family val="1"/>
      <charset val="128"/>
    </font>
    <font>
      <sz val="10"/>
      <name val="ＭＳ Ｐ明朝"/>
      <family val="1"/>
      <charset val="128"/>
    </font>
    <font>
      <sz val="10"/>
      <color indexed="8"/>
      <name val="ＭＳ Ｐ明朝"/>
      <family val="1"/>
      <charset val="128"/>
    </font>
    <font>
      <sz val="10"/>
      <color indexed="12"/>
      <name val="ＭＳ Ｐ明朝"/>
      <family val="1"/>
      <charset val="128"/>
    </font>
    <font>
      <sz val="9"/>
      <color indexed="8"/>
      <name val="ＭＳ Ｐ明朝"/>
      <family val="1"/>
      <charset val="128"/>
    </font>
    <font>
      <b/>
      <sz val="11"/>
      <color indexed="81"/>
      <name val="MS P ゴシック"/>
      <family val="3"/>
      <charset val="128"/>
    </font>
    <font>
      <sz val="11"/>
      <color theme="1"/>
      <name val="ＭＳ Ｐゴシック"/>
      <family val="2"/>
      <scheme val="minor"/>
    </font>
    <font>
      <sz val="11"/>
      <color theme="1"/>
      <name val="ＭＳ Ｐゴシック"/>
      <family val="3"/>
      <charset val="128"/>
    </font>
    <font>
      <sz val="11"/>
      <color rgb="FF000000"/>
      <name val="ＭＳ Ｐゴシック"/>
      <family val="3"/>
      <charset val="128"/>
    </font>
    <font>
      <sz val="11"/>
      <color rgb="FFFFFFFF"/>
      <name val="ＭＳ Ｐゴシック"/>
      <family val="3"/>
      <charset val="128"/>
    </font>
    <font>
      <b/>
      <sz val="11"/>
      <color rgb="FFFF9900"/>
      <name val="ＭＳ Ｐゴシック"/>
      <family val="3"/>
      <charset val="128"/>
    </font>
    <font>
      <b/>
      <sz val="11"/>
      <color rgb="FF000000"/>
      <name val="ＭＳ Ｐゴシック"/>
      <family val="3"/>
      <charset val="128"/>
    </font>
    <font>
      <b/>
      <sz val="11"/>
      <color rgb="FF333333"/>
      <name val="ＭＳ Ｐゴシック"/>
      <family val="3"/>
      <charset val="128"/>
    </font>
    <font>
      <b/>
      <i/>
      <sz val="16"/>
      <color theme="1"/>
      <name val="ＭＳ Ｐゴシック"/>
      <family val="3"/>
      <charset val="128"/>
    </font>
    <font>
      <sz val="11"/>
      <color theme="1"/>
      <name val="明朝"/>
      <charset val="128"/>
    </font>
    <font>
      <b/>
      <i/>
      <u/>
      <sz val="11"/>
      <color theme="1"/>
      <name val="ＭＳ Ｐゴシック"/>
      <family val="3"/>
      <charset val="128"/>
    </font>
    <font>
      <b/>
      <sz val="18"/>
      <color rgb="FF003366"/>
      <name val="ＭＳ Ｐゴシック"/>
      <family val="3"/>
      <charset val="128"/>
    </font>
    <font>
      <b/>
      <sz val="15"/>
      <color rgb="FF003366"/>
      <name val="ＭＳ Ｐゴシック"/>
      <family val="3"/>
      <charset val="128"/>
    </font>
    <font>
      <b/>
      <sz val="13"/>
      <color rgb="FF003366"/>
      <name val="ＭＳ Ｐゴシック"/>
      <family val="3"/>
      <charset val="128"/>
    </font>
    <font>
      <b/>
      <sz val="11"/>
      <color rgb="FF003366"/>
      <name val="ＭＳ Ｐゴシック"/>
      <family val="3"/>
      <charset val="128"/>
    </font>
    <font>
      <sz val="10"/>
      <color theme="1"/>
      <name val="ＭＳ Ｐゴシック"/>
      <family val="3"/>
      <charset val="128"/>
    </font>
    <font>
      <sz val="11"/>
      <color rgb="FFFF0000"/>
      <name val="ＭＳ Ｐ明朝"/>
      <family val="1"/>
      <charset val="128"/>
    </font>
    <font>
      <u/>
      <sz val="9"/>
      <color theme="10"/>
      <name val="ＭＳ Ｐゴシック"/>
      <family val="3"/>
      <charset val="128"/>
    </font>
    <font>
      <sz val="10"/>
      <color theme="1"/>
      <name val="ＭＳ Ｐゴシック"/>
      <family val="3"/>
      <charset val="128"/>
      <scheme val="minor"/>
    </font>
    <font>
      <u/>
      <sz val="10"/>
      <color theme="10"/>
      <name val="ＭＳ Ｐゴシック"/>
      <family val="3"/>
      <charset val="128"/>
    </font>
    <font>
      <sz val="9"/>
      <color theme="0" tint="-0.14999847407452621"/>
      <name val="ＭＳ Ｐゴシック"/>
      <family val="3"/>
      <charset val="128"/>
    </font>
  </fonts>
  <fills count="39">
    <fill>
      <patternFill patternType="none"/>
    </fill>
    <fill>
      <patternFill patternType="gray125"/>
    </fill>
    <fill>
      <patternFill patternType="solid">
        <fgColor theme="0"/>
        <bgColor indexed="64"/>
      </patternFill>
    </fill>
    <fill>
      <patternFill patternType="solid">
        <fgColor indexed="12"/>
        <bgColor indexed="64"/>
      </patternFill>
    </fill>
    <fill>
      <patternFill patternType="solid">
        <fgColor theme="2" tint="-0.749992370372631"/>
        <bgColor indexed="64"/>
      </patternFill>
    </fill>
    <fill>
      <patternFill patternType="solid">
        <fgColor indexed="9"/>
        <bgColor indexed="64"/>
      </patternFill>
    </fill>
    <fill>
      <patternFill patternType="solid">
        <fgColor indexed="47"/>
        <bgColor indexed="64"/>
      </patternFill>
    </fill>
    <fill>
      <patternFill patternType="solid">
        <fgColor indexed="22"/>
        <bgColor indexed="64"/>
      </patternFill>
    </fill>
    <fill>
      <patternFill patternType="solid">
        <fgColor indexed="46"/>
        <bgColor indexed="64"/>
      </patternFill>
    </fill>
    <fill>
      <patternFill patternType="solid">
        <fgColor indexed="27"/>
        <bgColor indexed="64"/>
      </patternFill>
    </fill>
    <fill>
      <patternFill patternType="solid">
        <fgColor indexed="29"/>
        <bgColor indexed="64"/>
      </patternFill>
    </fill>
    <fill>
      <patternFill patternType="solid">
        <fgColor indexed="49"/>
        <bgColor indexed="64"/>
      </patternFill>
    </fill>
    <fill>
      <patternFill patternType="solid">
        <fgColor indexed="54"/>
        <bgColor indexed="64"/>
      </patternFill>
    </fill>
    <fill>
      <patternFill patternType="solid">
        <fgColor indexed="10"/>
        <bgColor indexed="64"/>
      </patternFill>
    </fill>
    <fill>
      <patternFill patternType="solid">
        <fgColor indexed="50"/>
        <bgColor indexed="64"/>
      </patternFill>
    </fill>
    <fill>
      <patternFill patternType="solid">
        <fgColor indexed="23"/>
        <bgColor indexed="64"/>
      </patternFill>
    </fill>
    <fill>
      <patternFill patternType="solid">
        <fgColor indexed="53"/>
        <bgColor indexed="64"/>
      </patternFill>
    </fill>
    <fill>
      <patternFill patternType="solid">
        <fgColor indexed="55"/>
        <bgColor indexed="64"/>
      </patternFill>
    </fill>
    <fill>
      <patternFill patternType="solid">
        <fgColor indexed="43"/>
        <bgColor indexed="64"/>
      </patternFill>
    </fill>
    <fill>
      <patternFill patternType="solid">
        <fgColor indexed="26"/>
        <bgColor indexed="64"/>
      </patternFill>
    </fill>
    <fill>
      <patternFill patternType="solid">
        <fgColor indexed="45"/>
        <bgColor indexed="64"/>
      </patternFill>
    </fill>
    <fill>
      <patternFill patternType="solid">
        <fgColor theme="0" tint="-0.49998474074526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rgb="FFCCCCFF"/>
        <bgColor rgb="FFCCCCFF"/>
      </patternFill>
    </fill>
    <fill>
      <patternFill patternType="solid">
        <fgColor rgb="FFFF99CC"/>
        <bgColor rgb="FFFF99CC"/>
      </patternFill>
    </fill>
    <fill>
      <patternFill patternType="solid">
        <fgColor rgb="FFCCFFCC"/>
        <bgColor rgb="FFCCFFCC"/>
      </patternFill>
    </fill>
    <fill>
      <patternFill patternType="solid">
        <fgColor rgb="FFCC99FF"/>
        <bgColor rgb="FFCC99FF"/>
      </patternFill>
    </fill>
    <fill>
      <patternFill patternType="solid">
        <fgColor rgb="FF99CCFF"/>
        <bgColor rgb="FF99CCFF"/>
      </patternFill>
    </fill>
    <fill>
      <patternFill patternType="solid">
        <fgColor rgb="FF00FF00"/>
        <bgColor rgb="FF00FF00"/>
      </patternFill>
    </fill>
    <fill>
      <patternFill patternType="solid">
        <fgColor rgb="FFFFCC00"/>
        <bgColor rgb="FFFFCC00"/>
      </patternFill>
    </fill>
    <fill>
      <patternFill patternType="solid">
        <fgColor rgb="FF0066CC"/>
        <bgColor rgb="FF0066CC"/>
      </patternFill>
    </fill>
    <fill>
      <patternFill patternType="solid">
        <fgColor rgb="FF800080"/>
        <bgColor rgb="FF800080"/>
      </patternFill>
    </fill>
    <fill>
      <patternFill patternType="solid">
        <fgColor rgb="FFFF9900"/>
        <bgColor rgb="FFFF9900"/>
      </patternFill>
    </fill>
    <fill>
      <patternFill patternType="solid">
        <fgColor rgb="FFFFFFFF"/>
        <bgColor rgb="FFFFFFFF"/>
      </patternFill>
    </fill>
    <fill>
      <patternFill patternType="solid">
        <fgColor rgb="FFFFFFCC"/>
        <bgColor rgb="FFFFFFCC"/>
      </patternFill>
    </fill>
    <fill>
      <patternFill patternType="solid">
        <fgColor rgb="FFC0C0C0"/>
        <bgColor rgb="FFC0C0C0"/>
      </patternFill>
    </fill>
    <fill>
      <patternFill patternType="solid">
        <fgColor rgb="FF333399"/>
        <bgColor rgb="FF333399"/>
      </patternFill>
    </fill>
  </fills>
  <borders count="32">
    <border>
      <left/>
      <right/>
      <top/>
      <bottom/>
      <diagonal/>
    </border>
    <border>
      <left/>
      <right/>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double">
        <color indexed="63"/>
      </left>
      <right style="double">
        <color indexed="63"/>
      </right>
      <top style="double">
        <color indexed="63"/>
      </top>
      <bottom style="double">
        <color indexed="63"/>
      </bottom>
      <diagonal/>
    </border>
    <border>
      <left style="thin">
        <color indexed="55"/>
      </left>
      <right style="thin">
        <color indexed="55"/>
      </right>
      <top style="thin">
        <color indexed="55"/>
      </top>
      <bottom style="thin">
        <color indexed="55"/>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54"/>
      </bottom>
      <diagonal/>
    </border>
    <border>
      <left/>
      <right/>
      <top/>
      <bottom style="medium">
        <color indexed="54"/>
      </bottom>
      <diagonal/>
    </border>
    <border>
      <left/>
      <right/>
      <top style="thin">
        <color indexed="54"/>
      </top>
      <bottom style="double">
        <color indexed="54"/>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bottom style="double">
        <color indexed="64"/>
      </bottom>
      <diagonal/>
    </border>
    <border>
      <left style="thin">
        <color rgb="FFC0C0C0"/>
      </left>
      <right style="thin">
        <color rgb="FFC0C0C0"/>
      </right>
      <top style="thin">
        <color rgb="FFC0C0C0"/>
      </top>
      <bottom style="thin">
        <color rgb="FFC0C0C0"/>
      </bottom>
      <diagonal/>
    </border>
    <border>
      <left style="thin">
        <color rgb="FF808080"/>
      </left>
      <right style="thin">
        <color rgb="FF808080"/>
      </right>
      <top style="thin">
        <color rgb="FF808080"/>
      </top>
      <bottom style="thin">
        <color rgb="FF808080"/>
      </bottom>
      <diagonal/>
    </border>
    <border>
      <left/>
      <right/>
      <top/>
      <bottom style="thin">
        <color rgb="FFC0C0C0"/>
      </bottom>
      <diagonal/>
    </border>
    <border>
      <left style="thin">
        <color rgb="FF333333"/>
      </left>
      <right style="thin">
        <color rgb="FF333333"/>
      </right>
      <top style="thin">
        <color rgb="FF333333"/>
      </top>
      <bottom style="thin">
        <color rgb="FF333333"/>
      </bottom>
      <diagonal/>
    </border>
    <border>
      <left/>
      <right/>
      <top/>
      <bottom style="thin">
        <color rgb="FF333399"/>
      </bottom>
      <diagonal/>
    </border>
    <border>
      <left/>
      <right/>
      <top/>
      <bottom style="thin">
        <color rgb="FF0066CC"/>
      </bottom>
      <diagonal/>
    </border>
    <border>
      <left/>
      <right/>
      <top style="thin">
        <color rgb="FF333399"/>
      </top>
      <bottom style="double">
        <color rgb="FF333399"/>
      </bottom>
      <diagonal/>
    </border>
  </borders>
  <cellStyleXfs count="774">
    <xf numFmtId="0" fontId="0" fillId="0" borderId="0"/>
    <xf numFmtId="0" fontId="20" fillId="0" borderId="0">
      <alignment vertical="center"/>
    </xf>
    <xf numFmtId="0" fontId="10" fillId="0" borderId="0"/>
    <xf numFmtId="0" fontId="22" fillId="5" borderId="0" applyNumberFormat="0" applyBorder="0" applyAlignment="0" applyProtection="0">
      <alignment vertical="center"/>
    </xf>
    <xf numFmtId="0" fontId="22" fillId="6" borderId="0" applyNumberFormat="0" applyBorder="0" applyAlignment="0" applyProtection="0">
      <alignment vertical="center"/>
    </xf>
    <xf numFmtId="0" fontId="22" fillId="7" borderId="0" applyNumberFormat="0" applyBorder="0" applyAlignment="0" applyProtection="0">
      <alignment vertical="center"/>
    </xf>
    <xf numFmtId="0" fontId="22" fillId="8" borderId="0" applyNumberFormat="0" applyBorder="0" applyAlignment="0" applyProtection="0">
      <alignment vertical="center"/>
    </xf>
    <xf numFmtId="0" fontId="22" fillId="9" borderId="0" applyNumberFormat="0" applyBorder="0" applyAlignment="0" applyProtection="0">
      <alignment vertical="center"/>
    </xf>
    <xf numFmtId="0" fontId="22" fillId="6" borderId="0" applyNumberFormat="0" applyBorder="0" applyAlignment="0" applyProtection="0">
      <alignment vertical="center"/>
    </xf>
    <xf numFmtId="0" fontId="22" fillId="8" borderId="0" applyNumberFormat="0" applyBorder="0" applyAlignment="0" applyProtection="0">
      <alignment vertical="center"/>
    </xf>
    <xf numFmtId="0" fontId="22" fillId="10" borderId="0" applyNumberFormat="0" applyBorder="0" applyAlignment="0" applyProtection="0">
      <alignment vertical="center"/>
    </xf>
    <xf numFmtId="0" fontId="22" fillId="7" borderId="0" applyNumberFormat="0" applyBorder="0" applyAlignment="0" applyProtection="0">
      <alignment vertical="center"/>
    </xf>
    <xf numFmtId="0" fontId="22" fillId="8" borderId="0" applyNumberFormat="0" applyBorder="0" applyAlignment="0" applyProtection="0">
      <alignment vertical="center"/>
    </xf>
    <xf numFmtId="0" fontId="22" fillId="11" borderId="0" applyNumberFormat="0" applyBorder="0" applyAlignment="0" applyProtection="0">
      <alignment vertical="center"/>
    </xf>
    <xf numFmtId="0" fontId="22" fillId="6" borderId="0" applyNumberFormat="0" applyBorder="0" applyAlignment="0" applyProtection="0">
      <alignment vertical="center"/>
    </xf>
    <xf numFmtId="0" fontId="24" fillId="12" borderId="0" applyNumberFormat="0" applyBorder="0" applyAlignment="0" applyProtection="0">
      <alignment vertical="center"/>
    </xf>
    <xf numFmtId="0" fontId="24" fillId="10" borderId="0" applyNumberFormat="0" applyBorder="0" applyAlignment="0" applyProtection="0">
      <alignment vertical="center"/>
    </xf>
    <xf numFmtId="0" fontId="24" fillId="7" borderId="0" applyNumberFormat="0" applyBorder="0" applyAlignment="0" applyProtection="0">
      <alignment vertical="center"/>
    </xf>
    <xf numFmtId="0" fontId="24" fillId="8" borderId="0" applyNumberFormat="0" applyBorder="0" applyAlignment="0" applyProtection="0">
      <alignment vertical="center"/>
    </xf>
    <xf numFmtId="0" fontId="24" fillId="11" borderId="0" applyNumberFormat="0" applyBorder="0" applyAlignment="0" applyProtection="0">
      <alignment vertical="center"/>
    </xf>
    <xf numFmtId="0" fontId="24" fillId="6" borderId="0" applyNumberFormat="0" applyBorder="0" applyAlignment="0" applyProtection="0">
      <alignment vertical="center"/>
    </xf>
    <xf numFmtId="0" fontId="22" fillId="0" borderId="0">
      <alignment vertical="center"/>
    </xf>
    <xf numFmtId="0" fontId="22" fillId="0" borderId="0">
      <alignment vertical="center"/>
    </xf>
    <xf numFmtId="0" fontId="24" fillId="12" borderId="0" applyNumberFormat="0" applyBorder="0" applyAlignment="0" applyProtection="0">
      <alignment vertical="center"/>
    </xf>
    <xf numFmtId="0" fontId="24" fillId="13" borderId="0" applyNumberFormat="0" applyBorder="0" applyAlignment="0" applyProtection="0">
      <alignment vertical="center"/>
    </xf>
    <xf numFmtId="0" fontId="24" fillId="14" borderId="0" applyNumberFormat="0" applyBorder="0" applyAlignment="0" applyProtection="0">
      <alignment vertical="center"/>
    </xf>
    <xf numFmtId="0" fontId="24" fillId="15" borderId="0" applyNumberFormat="0" applyBorder="0" applyAlignment="0" applyProtection="0">
      <alignment vertical="center"/>
    </xf>
    <xf numFmtId="0" fontId="24" fillId="11" borderId="0" applyNumberFormat="0" applyBorder="0" applyAlignment="0" applyProtection="0">
      <alignment vertical="center"/>
    </xf>
    <xf numFmtId="0" fontId="24" fillId="16" borderId="0" applyNumberFormat="0" applyBorder="0" applyAlignment="0" applyProtection="0">
      <alignment vertical="center"/>
    </xf>
    <xf numFmtId="0" fontId="25" fillId="0" borderId="0" applyNumberFormat="0" applyFill="0" applyBorder="0" applyAlignment="0" applyProtection="0">
      <alignment vertical="center"/>
    </xf>
    <xf numFmtId="0" fontId="36" fillId="17" borderId="6" applyNumberFormat="0" applyAlignment="0" applyProtection="0">
      <alignment vertical="center"/>
    </xf>
    <xf numFmtId="0" fontId="29" fillId="18" borderId="0" applyNumberFormat="0" applyBorder="0" applyAlignment="0" applyProtection="0">
      <alignment vertical="center"/>
    </xf>
    <xf numFmtId="0" fontId="10" fillId="19" borderId="7" applyNumberFormat="0" applyFont="0" applyAlignment="0" applyProtection="0">
      <alignment vertical="center"/>
    </xf>
    <xf numFmtId="0" fontId="33" fillId="0" borderId="8" applyNumberFormat="0" applyFill="0" applyAlignment="0" applyProtection="0">
      <alignment vertical="center"/>
    </xf>
    <xf numFmtId="0" fontId="35" fillId="20" borderId="0" applyNumberFormat="0" applyBorder="0" applyAlignment="0" applyProtection="0">
      <alignment vertical="center"/>
    </xf>
    <xf numFmtId="0" fontId="27" fillId="5" borderId="9" applyNumberFormat="0" applyAlignment="0" applyProtection="0">
      <alignment vertical="center"/>
    </xf>
    <xf numFmtId="0" fontId="23" fillId="0" borderId="0" applyNumberFormat="0" applyFill="0" applyBorder="0" applyAlignment="0" applyProtection="0">
      <alignment vertical="center"/>
    </xf>
    <xf numFmtId="0" fontId="37" fillId="0" borderId="10" applyNumberFormat="0" applyFill="0" applyAlignment="0" applyProtection="0">
      <alignment vertical="center"/>
    </xf>
    <xf numFmtId="0" fontId="26" fillId="0" borderId="10" applyNumberFormat="0" applyFill="0" applyAlignment="0" applyProtection="0">
      <alignment vertical="center"/>
    </xf>
    <xf numFmtId="0" fontId="32" fillId="0" borderId="11" applyNumberFormat="0" applyFill="0" applyAlignment="0" applyProtection="0">
      <alignment vertical="center"/>
    </xf>
    <xf numFmtId="0" fontId="32" fillId="0" borderId="0" applyNumberFormat="0" applyFill="0" applyBorder="0" applyAlignment="0" applyProtection="0">
      <alignment vertical="center"/>
    </xf>
    <xf numFmtId="0" fontId="21" fillId="0" borderId="12" applyNumberFormat="0" applyFill="0" applyAlignment="0" applyProtection="0">
      <alignment vertical="center"/>
    </xf>
    <xf numFmtId="0" fontId="34" fillId="5" borderId="13" applyNumberFormat="0" applyAlignment="0" applyProtection="0">
      <alignment vertical="center"/>
    </xf>
    <xf numFmtId="0" fontId="30" fillId="0" borderId="0" applyNumberFormat="0" applyFill="0" applyBorder="0" applyAlignment="0" applyProtection="0">
      <alignment vertical="center"/>
    </xf>
    <xf numFmtId="0" fontId="28" fillId="6" borderId="9" applyNumberFormat="0" applyAlignment="0" applyProtection="0">
      <alignment vertical="center"/>
    </xf>
    <xf numFmtId="0" fontId="10" fillId="0" borderId="0"/>
    <xf numFmtId="0" fontId="10" fillId="0" borderId="0" applyBorder="0" applyProtection="0"/>
    <xf numFmtId="0" fontId="31" fillId="7" borderId="0" applyNumberFormat="0" applyBorder="0" applyAlignment="0" applyProtection="0">
      <alignment vertical="center"/>
    </xf>
    <xf numFmtId="0" fontId="10" fillId="0" borderId="0" applyBorder="0" applyProtection="0"/>
    <xf numFmtId="0" fontId="56" fillId="0" borderId="0"/>
    <xf numFmtId="0" fontId="56"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57" fillId="0" borderId="0">
      <alignment vertical="center"/>
    </xf>
    <xf numFmtId="0" fontId="58" fillId="25" borderId="0">
      <alignment vertical="center"/>
    </xf>
    <xf numFmtId="0" fontId="58" fillId="25" borderId="0">
      <alignment vertical="center"/>
    </xf>
    <xf numFmtId="0" fontId="58" fillId="25" borderId="0">
      <alignment vertical="center"/>
    </xf>
    <xf numFmtId="0" fontId="58" fillId="25" borderId="0">
      <alignment vertical="center"/>
    </xf>
    <xf numFmtId="0" fontId="58" fillId="25" borderId="0">
      <alignment vertical="center"/>
    </xf>
    <xf numFmtId="0" fontId="58" fillId="25" borderId="0">
      <alignment vertical="center"/>
    </xf>
    <xf numFmtId="0" fontId="58" fillId="25" borderId="0">
      <alignment vertical="center"/>
    </xf>
    <xf numFmtId="0" fontId="58" fillId="25" borderId="0">
      <alignment vertical="center"/>
    </xf>
    <xf numFmtId="0" fontId="58" fillId="25" borderId="0">
      <alignment vertical="center"/>
    </xf>
    <xf numFmtId="0" fontId="58" fillId="25" borderId="0">
      <alignment vertical="center"/>
    </xf>
    <xf numFmtId="0" fontId="58" fillId="25" borderId="0">
      <alignment vertical="center"/>
    </xf>
    <xf numFmtId="0" fontId="58" fillId="25" borderId="0">
      <alignment vertical="center"/>
    </xf>
    <xf numFmtId="0" fontId="58" fillId="25" borderId="0">
      <alignment vertical="center"/>
    </xf>
    <xf numFmtId="0" fontId="58" fillId="25" borderId="0">
      <alignment vertical="center"/>
    </xf>
    <xf numFmtId="0" fontId="58" fillId="25" borderId="0">
      <alignment vertical="center"/>
    </xf>
    <xf numFmtId="0" fontId="58" fillId="25" borderId="0">
      <alignment vertical="center"/>
    </xf>
    <xf numFmtId="0" fontId="58" fillId="25" borderId="0">
      <alignment vertical="center"/>
    </xf>
    <xf numFmtId="0" fontId="58" fillId="25" borderId="0">
      <alignment vertical="center"/>
    </xf>
    <xf numFmtId="0" fontId="58" fillId="25" borderId="0">
      <alignment vertical="center"/>
    </xf>
    <xf numFmtId="0" fontId="58" fillId="25" borderId="0">
      <alignment vertical="center"/>
    </xf>
    <xf numFmtId="0" fontId="58" fillId="25" borderId="0">
      <alignment vertical="center"/>
    </xf>
    <xf numFmtId="0" fontId="58" fillId="25" borderId="0">
      <alignment vertical="center"/>
    </xf>
    <xf numFmtId="0" fontId="58" fillId="25" borderId="0">
      <alignment vertical="center"/>
    </xf>
    <xf numFmtId="0" fontId="58" fillId="25" borderId="0">
      <alignment vertical="center"/>
    </xf>
    <xf numFmtId="0" fontId="58" fillId="25" borderId="0">
      <alignment vertical="center"/>
    </xf>
    <xf numFmtId="0" fontId="58" fillId="25" borderId="0">
      <alignment vertical="center"/>
    </xf>
    <xf numFmtId="0" fontId="58" fillId="25" borderId="0">
      <alignment vertical="center"/>
    </xf>
    <xf numFmtId="0" fontId="58" fillId="25" borderId="0">
      <alignment vertical="center"/>
    </xf>
    <xf numFmtId="0" fontId="58" fillId="25" borderId="0">
      <alignment vertical="center"/>
    </xf>
    <xf numFmtId="0" fontId="58" fillId="26" borderId="0">
      <alignment vertical="center"/>
    </xf>
    <xf numFmtId="0" fontId="58" fillId="26" borderId="0">
      <alignment vertical="center"/>
    </xf>
    <xf numFmtId="0" fontId="58" fillId="26" borderId="0">
      <alignment vertical="center"/>
    </xf>
    <xf numFmtId="0" fontId="58" fillId="26" borderId="0">
      <alignment vertical="center"/>
    </xf>
    <xf numFmtId="0" fontId="58" fillId="26" borderId="0">
      <alignment vertical="center"/>
    </xf>
    <xf numFmtId="0" fontId="58" fillId="26" borderId="0">
      <alignment vertical="center"/>
    </xf>
    <xf numFmtId="0" fontId="58" fillId="26" borderId="0">
      <alignment vertical="center"/>
    </xf>
    <xf numFmtId="0" fontId="58" fillId="26" borderId="0">
      <alignment vertical="center"/>
    </xf>
    <xf numFmtId="0" fontId="58" fillId="26" borderId="0">
      <alignment vertical="center"/>
    </xf>
    <xf numFmtId="0" fontId="58" fillId="26" borderId="0">
      <alignment vertical="center"/>
    </xf>
    <xf numFmtId="0" fontId="58" fillId="26" borderId="0">
      <alignment vertical="center"/>
    </xf>
    <xf numFmtId="0" fontId="58" fillId="26" borderId="0">
      <alignment vertical="center"/>
    </xf>
    <xf numFmtId="0" fontId="58" fillId="26" borderId="0">
      <alignment vertical="center"/>
    </xf>
    <xf numFmtId="0" fontId="58" fillId="26" borderId="0">
      <alignment vertical="center"/>
    </xf>
    <xf numFmtId="0" fontId="58" fillId="26" borderId="0">
      <alignment vertical="center"/>
    </xf>
    <xf numFmtId="0" fontId="58" fillId="26" borderId="0">
      <alignment vertical="center"/>
    </xf>
    <xf numFmtId="0" fontId="58" fillId="26" borderId="0">
      <alignment vertical="center"/>
    </xf>
    <xf numFmtId="0" fontId="58" fillId="26" borderId="0">
      <alignment vertical="center"/>
    </xf>
    <xf numFmtId="0" fontId="58" fillId="26" borderId="0">
      <alignment vertical="center"/>
    </xf>
    <xf numFmtId="0" fontId="58" fillId="26" borderId="0">
      <alignment vertical="center"/>
    </xf>
    <xf numFmtId="0" fontId="58" fillId="26" borderId="0">
      <alignment vertical="center"/>
    </xf>
    <xf numFmtId="0" fontId="58" fillId="26" borderId="0">
      <alignment vertical="center"/>
    </xf>
    <xf numFmtId="0" fontId="58" fillId="26" borderId="0">
      <alignment vertical="center"/>
    </xf>
    <xf numFmtId="0" fontId="58" fillId="26" borderId="0">
      <alignment vertical="center"/>
    </xf>
    <xf numFmtId="0" fontId="58" fillId="26" borderId="0">
      <alignment vertical="center"/>
    </xf>
    <xf numFmtId="0" fontId="58" fillId="26" borderId="0">
      <alignment vertical="center"/>
    </xf>
    <xf numFmtId="0" fontId="58" fillId="26" borderId="0">
      <alignment vertical="center"/>
    </xf>
    <xf numFmtId="0" fontId="58" fillId="26" borderId="0">
      <alignment vertical="center"/>
    </xf>
    <xf numFmtId="0" fontId="58" fillId="26" borderId="0">
      <alignment vertical="center"/>
    </xf>
    <xf numFmtId="0" fontId="58" fillId="27" borderId="0">
      <alignment vertical="center"/>
    </xf>
    <xf numFmtId="0" fontId="58" fillId="27" borderId="0">
      <alignment vertical="center"/>
    </xf>
    <xf numFmtId="0" fontId="58" fillId="27" borderId="0">
      <alignment vertical="center"/>
    </xf>
    <xf numFmtId="0" fontId="58" fillId="27" borderId="0">
      <alignment vertical="center"/>
    </xf>
    <xf numFmtId="0" fontId="58" fillId="27" borderId="0">
      <alignment vertical="center"/>
    </xf>
    <xf numFmtId="0" fontId="58" fillId="27" borderId="0">
      <alignment vertical="center"/>
    </xf>
    <xf numFmtId="0" fontId="58" fillId="27" borderId="0">
      <alignment vertical="center"/>
    </xf>
    <xf numFmtId="0" fontId="58" fillId="27" borderId="0">
      <alignment vertical="center"/>
    </xf>
    <xf numFmtId="0" fontId="58" fillId="27" borderId="0">
      <alignment vertical="center"/>
    </xf>
    <xf numFmtId="0" fontId="58" fillId="27" borderId="0">
      <alignment vertical="center"/>
    </xf>
    <xf numFmtId="0" fontId="58" fillId="27" borderId="0">
      <alignment vertical="center"/>
    </xf>
    <xf numFmtId="0" fontId="58" fillId="27" borderId="0">
      <alignment vertical="center"/>
    </xf>
    <xf numFmtId="0" fontId="58" fillId="27" borderId="0">
      <alignment vertical="center"/>
    </xf>
    <xf numFmtId="0" fontId="58" fillId="27" borderId="0">
      <alignment vertical="center"/>
    </xf>
    <xf numFmtId="0" fontId="58" fillId="27" borderId="0">
      <alignment vertical="center"/>
    </xf>
    <xf numFmtId="0" fontId="58" fillId="27" borderId="0">
      <alignment vertical="center"/>
    </xf>
    <xf numFmtId="0" fontId="58" fillId="27" borderId="0">
      <alignment vertical="center"/>
    </xf>
    <xf numFmtId="0" fontId="58" fillId="27" borderId="0">
      <alignment vertical="center"/>
    </xf>
    <xf numFmtId="0" fontId="58" fillId="27" borderId="0">
      <alignment vertical="center"/>
    </xf>
    <xf numFmtId="0" fontId="58" fillId="27" borderId="0">
      <alignment vertical="center"/>
    </xf>
    <xf numFmtId="0" fontId="58" fillId="27" borderId="0">
      <alignment vertical="center"/>
    </xf>
    <xf numFmtId="0" fontId="58" fillId="27" borderId="0">
      <alignment vertical="center"/>
    </xf>
    <xf numFmtId="0" fontId="58" fillId="27" borderId="0">
      <alignment vertical="center"/>
    </xf>
    <xf numFmtId="0" fontId="58" fillId="27" borderId="0">
      <alignment vertical="center"/>
    </xf>
    <xf numFmtId="0" fontId="58" fillId="27" borderId="0">
      <alignment vertical="center"/>
    </xf>
    <xf numFmtId="0" fontId="58" fillId="27" borderId="0">
      <alignment vertical="center"/>
    </xf>
    <xf numFmtId="0" fontId="58" fillId="27" borderId="0">
      <alignment vertical="center"/>
    </xf>
    <xf numFmtId="0" fontId="58" fillId="27" borderId="0">
      <alignment vertical="center"/>
    </xf>
    <xf numFmtId="0" fontId="58" fillId="27"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9" borderId="0">
      <alignment vertical="center"/>
    </xf>
    <xf numFmtId="0" fontId="58" fillId="29" borderId="0">
      <alignment vertical="center"/>
    </xf>
    <xf numFmtId="0" fontId="58" fillId="29" borderId="0">
      <alignment vertical="center"/>
    </xf>
    <xf numFmtId="0" fontId="58" fillId="29" borderId="0">
      <alignment vertical="center"/>
    </xf>
    <xf numFmtId="0" fontId="58" fillId="29" borderId="0">
      <alignment vertical="center"/>
    </xf>
    <xf numFmtId="0" fontId="58" fillId="29" borderId="0">
      <alignment vertical="center"/>
    </xf>
    <xf numFmtId="0" fontId="58" fillId="29" borderId="0">
      <alignment vertical="center"/>
    </xf>
    <xf numFmtId="0" fontId="58" fillId="29" borderId="0">
      <alignment vertical="center"/>
    </xf>
    <xf numFmtId="0" fontId="58" fillId="29" borderId="0">
      <alignment vertical="center"/>
    </xf>
    <xf numFmtId="0" fontId="58" fillId="29" borderId="0">
      <alignment vertical="center"/>
    </xf>
    <xf numFmtId="0" fontId="58" fillId="29" borderId="0">
      <alignment vertical="center"/>
    </xf>
    <xf numFmtId="0" fontId="58" fillId="29" borderId="0">
      <alignment vertical="center"/>
    </xf>
    <xf numFmtId="0" fontId="58" fillId="29" borderId="0">
      <alignment vertical="center"/>
    </xf>
    <xf numFmtId="0" fontId="58" fillId="29" borderId="0">
      <alignment vertical="center"/>
    </xf>
    <xf numFmtId="0" fontId="58" fillId="29" borderId="0">
      <alignment vertical="center"/>
    </xf>
    <xf numFmtId="0" fontId="58" fillId="29" borderId="0">
      <alignment vertical="center"/>
    </xf>
    <xf numFmtId="0" fontId="58" fillId="29" borderId="0">
      <alignment vertical="center"/>
    </xf>
    <xf numFmtId="0" fontId="58" fillId="29" borderId="0">
      <alignment vertical="center"/>
    </xf>
    <xf numFmtId="0" fontId="58" fillId="29" borderId="0">
      <alignment vertical="center"/>
    </xf>
    <xf numFmtId="0" fontId="58" fillId="29" borderId="0">
      <alignment vertical="center"/>
    </xf>
    <xf numFmtId="0" fontId="58" fillId="29" borderId="0">
      <alignment vertical="center"/>
    </xf>
    <xf numFmtId="0" fontId="58" fillId="29" borderId="0">
      <alignment vertical="center"/>
    </xf>
    <xf numFmtId="0" fontId="58" fillId="29" borderId="0">
      <alignment vertical="center"/>
    </xf>
    <xf numFmtId="0" fontId="58" fillId="29" borderId="0">
      <alignment vertical="center"/>
    </xf>
    <xf numFmtId="0" fontId="58" fillId="29" borderId="0">
      <alignment vertical="center"/>
    </xf>
    <xf numFmtId="0" fontId="58" fillId="29" borderId="0">
      <alignment vertical="center"/>
    </xf>
    <xf numFmtId="0" fontId="58" fillId="29" borderId="0">
      <alignment vertical="center"/>
    </xf>
    <xf numFmtId="0" fontId="58" fillId="29" borderId="0">
      <alignment vertical="center"/>
    </xf>
    <xf numFmtId="0" fontId="58" fillId="29" borderId="0">
      <alignment vertical="center"/>
    </xf>
    <xf numFmtId="0" fontId="58" fillId="30" borderId="0">
      <alignment vertical="center"/>
    </xf>
    <xf numFmtId="0" fontId="58" fillId="30" borderId="0">
      <alignment vertical="center"/>
    </xf>
    <xf numFmtId="0" fontId="58" fillId="30" borderId="0">
      <alignment vertical="center"/>
    </xf>
    <xf numFmtId="0" fontId="58" fillId="30" borderId="0">
      <alignment vertical="center"/>
    </xf>
    <xf numFmtId="0" fontId="58" fillId="30" borderId="0">
      <alignment vertical="center"/>
    </xf>
    <xf numFmtId="0" fontId="58" fillId="30" borderId="0">
      <alignment vertical="center"/>
    </xf>
    <xf numFmtId="0" fontId="58" fillId="30" borderId="0">
      <alignment vertical="center"/>
    </xf>
    <xf numFmtId="0" fontId="58" fillId="30" borderId="0">
      <alignment vertical="center"/>
    </xf>
    <xf numFmtId="0" fontId="58" fillId="30" borderId="0">
      <alignment vertical="center"/>
    </xf>
    <xf numFmtId="0" fontId="58" fillId="30" borderId="0">
      <alignment vertical="center"/>
    </xf>
    <xf numFmtId="0" fontId="58" fillId="30" borderId="0">
      <alignment vertical="center"/>
    </xf>
    <xf numFmtId="0" fontId="58" fillId="30" borderId="0">
      <alignment vertical="center"/>
    </xf>
    <xf numFmtId="0" fontId="58" fillId="30" borderId="0">
      <alignment vertical="center"/>
    </xf>
    <xf numFmtId="0" fontId="58" fillId="30" borderId="0">
      <alignment vertical="center"/>
    </xf>
    <xf numFmtId="0" fontId="58" fillId="30" borderId="0">
      <alignment vertical="center"/>
    </xf>
    <xf numFmtId="0" fontId="58" fillId="30" borderId="0">
      <alignment vertical="center"/>
    </xf>
    <xf numFmtId="0" fontId="58" fillId="30" borderId="0">
      <alignment vertical="center"/>
    </xf>
    <xf numFmtId="0" fontId="58" fillId="30" borderId="0">
      <alignment vertical="center"/>
    </xf>
    <xf numFmtId="0" fontId="58" fillId="30" borderId="0">
      <alignment vertical="center"/>
    </xf>
    <xf numFmtId="0" fontId="58" fillId="30" borderId="0">
      <alignment vertical="center"/>
    </xf>
    <xf numFmtId="0" fontId="58" fillId="30" borderId="0">
      <alignment vertical="center"/>
    </xf>
    <xf numFmtId="0" fontId="58" fillId="30" borderId="0">
      <alignment vertical="center"/>
    </xf>
    <xf numFmtId="0" fontId="58" fillId="30" borderId="0">
      <alignment vertical="center"/>
    </xf>
    <xf numFmtId="0" fontId="58" fillId="30" borderId="0">
      <alignment vertical="center"/>
    </xf>
    <xf numFmtId="0" fontId="58" fillId="30" borderId="0">
      <alignment vertical="center"/>
    </xf>
    <xf numFmtId="0" fontId="58" fillId="30" borderId="0">
      <alignment vertical="center"/>
    </xf>
    <xf numFmtId="0" fontId="58" fillId="30" borderId="0">
      <alignment vertical="center"/>
    </xf>
    <xf numFmtId="0" fontId="58" fillId="30" borderId="0">
      <alignment vertical="center"/>
    </xf>
    <xf numFmtId="0" fontId="58" fillId="30"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28" borderId="0">
      <alignment vertical="center"/>
    </xf>
    <xf numFmtId="0" fontId="58" fillId="31" borderId="0">
      <alignment vertical="center"/>
    </xf>
    <xf numFmtId="0" fontId="58" fillId="31" borderId="0">
      <alignment vertical="center"/>
    </xf>
    <xf numFmtId="0" fontId="58" fillId="31" borderId="0">
      <alignment vertical="center"/>
    </xf>
    <xf numFmtId="0" fontId="58" fillId="31" borderId="0">
      <alignment vertical="center"/>
    </xf>
    <xf numFmtId="0" fontId="58" fillId="31" borderId="0">
      <alignment vertical="center"/>
    </xf>
    <xf numFmtId="0" fontId="58" fillId="31" borderId="0">
      <alignment vertical="center"/>
    </xf>
    <xf numFmtId="0" fontId="58" fillId="31" borderId="0">
      <alignment vertical="center"/>
    </xf>
    <xf numFmtId="0" fontId="58" fillId="31" borderId="0">
      <alignment vertical="center"/>
    </xf>
    <xf numFmtId="0" fontId="58" fillId="31" borderId="0">
      <alignment vertical="center"/>
    </xf>
    <xf numFmtId="0" fontId="58" fillId="31" borderId="0">
      <alignment vertical="center"/>
    </xf>
    <xf numFmtId="0" fontId="58" fillId="31" borderId="0">
      <alignment vertical="center"/>
    </xf>
    <xf numFmtId="0" fontId="58" fillId="31" borderId="0">
      <alignment vertical="center"/>
    </xf>
    <xf numFmtId="0" fontId="58" fillId="31" borderId="0">
      <alignment vertical="center"/>
    </xf>
    <xf numFmtId="0" fontId="58" fillId="31" borderId="0">
      <alignment vertical="center"/>
    </xf>
    <xf numFmtId="0" fontId="58" fillId="31" borderId="0">
      <alignment vertical="center"/>
    </xf>
    <xf numFmtId="0" fontId="58" fillId="31" borderId="0">
      <alignment vertical="center"/>
    </xf>
    <xf numFmtId="0" fontId="58" fillId="31" borderId="0">
      <alignment vertical="center"/>
    </xf>
    <xf numFmtId="0" fontId="58" fillId="31" borderId="0">
      <alignment vertical="center"/>
    </xf>
    <xf numFmtId="0" fontId="58" fillId="31" borderId="0">
      <alignment vertical="center"/>
    </xf>
    <xf numFmtId="0" fontId="58" fillId="31" borderId="0">
      <alignment vertical="center"/>
    </xf>
    <xf numFmtId="0" fontId="58" fillId="31" borderId="0">
      <alignment vertical="center"/>
    </xf>
    <xf numFmtId="0" fontId="58" fillId="31" borderId="0">
      <alignment vertical="center"/>
    </xf>
    <xf numFmtId="0" fontId="58" fillId="31" borderId="0">
      <alignment vertical="center"/>
    </xf>
    <xf numFmtId="0" fontId="58" fillId="31" borderId="0">
      <alignment vertical="center"/>
    </xf>
    <xf numFmtId="0" fontId="58" fillId="31" borderId="0">
      <alignment vertical="center"/>
    </xf>
    <xf numFmtId="0" fontId="58" fillId="31" borderId="0">
      <alignment vertical="center"/>
    </xf>
    <xf numFmtId="0" fontId="58" fillId="31" borderId="0">
      <alignment vertical="center"/>
    </xf>
    <xf numFmtId="0" fontId="58" fillId="31" borderId="0">
      <alignment vertical="center"/>
    </xf>
    <xf numFmtId="0" fontId="58" fillId="31" borderId="0">
      <alignment vertical="center"/>
    </xf>
    <xf numFmtId="0" fontId="59" fillId="32" borderId="0">
      <alignment vertical="center"/>
    </xf>
    <xf numFmtId="0" fontId="59" fillId="32" borderId="0">
      <alignment vertical="center"/>
    </xf>
    <xf numFmtId="0" fontId="59" fillId="32" borderId="0">
      <alignment vertical="center"/>
    </xf>
    <xf numFmtId="0" fontId="59" fillId="32" borderId="0">
      <alignment vertical="center"/>
    </xf>
    <xf numFmtId="0" fontId="59" fillId="32" borderId="0">
      <alignment vertical="center"/>
    </xf>
    <xf numFmtId="0" fontId="59" fillId="32" borderId="0">
      <alignment vertical="center"/>
    </xf>
    <xf numFmtId="0" fontId="59" fillId="32" borderId="0">
      <alignment vertical="center"/>
    </xf>
    <xf numFmtId="0" fontId="59" fillId="32" borderId="0">
      <alignment vertical="center"/>
    </xf>
    <xf numFmtId="0" fontId="59" fillId="32" borderId="0">
      <alignment vertical="center"/>
    </xf>
    <xf numFmtId="0" fontId="59" fillId="32" borderId="0">
      <alignment vertical="center"/>
    </xf>
    <xf numFmtId="0" fontId="59" fillId="32" borderId="0">
      <alignment vertical="center"/>
    </xf>
    <xf numFmtId="0" fontId="59" fillId="32" borderId="0">
      <alignment vertical="center"/>
    </xf>
    <xf numFmtId="0" fontId="59" fillId="32" borderId="0">
      <alignment vertical="center"/>
    </xf>
    <xf numFmtId="0" fontId="59" fillId="32" borderId="0">
      <alignment vertical="center"/>
    </xf>
    <xf numFmtId="0" fontId="59" fillId="32" borderId="0">
      <alignment vertical="center"/>
    </xf>
    <xf numFmtId="0" fontId="59" fillId="32" borderId="0">
      <alignment vertical="center"/>
    </xf>
    <xf numFmtId="0" fontId="59" fillId="32" borderId="0">
      <alignment vertical="center"/>
    </xf>
    <xf numFmtId="0" fontId="59" fillId="32" borderId="0">
      <alignment vertical="center"/>
    </xf>
    <xf numFmtId="0" fontId="59" fillId="32" borderId="0">
      <alignment vertical="center"/>
    </xf>
    <xf numFmtId="0" fontId="59" fillId="32" borderId="0">
      <alignment vertical="center"/>
    </xf>
    <xf numFmtId="0" fontId="59" fillId="32" borderId="0">
      <alignment vertical="center"/>
    </xf>
    <xf numFmtId="0" fontId="59" fillId="32" borderId="0">
      <alignment vertical="center"/>
    </xf>
    <xf numFmtId="0" fontId="59" fillId="32" borderId="0">
      <alignment vertical="center"/>
    </xf>
    <xf numFmtId="0" fontId="59" fillId="32" borderId="0">
      <alignment vertical="center"/>
    </xf>
    <xf numFmtId="0" fontId="59" fillId="32" borderId="0">
      <alignment vertical="center"/>
    </xf>
    <xf numFmtId="0" fontId="59" fillId="32" borderId="0">
      <alignment vertical="center"/>
    </xf>
    <xf numFmtId="0" fontId="59" fillId="32" borderId="0">
      <alignment vertical="center"/>
    </xf>
    <xf numFmtId="0" fontId="59" fillId="32" borderId="0">
      <alignment vertical="center"/>
    </xf>
    <xf numFmtId="0" fontId="59" fillId="32" borderId="0">
      <alignment vertical="center"/>
    </xf>
    <xf numFmtId="0" fontId="59" fillId="30" borderId="0">
      <alignment vertical="center"/>
    </xf>
    <xf numFmtId="0" fontId="59" fillId="30" borderId="0">
      <alignment vertical="center"/>
    </xf>
    <xf numFmtId="0" fontId="59" fillId="30" borderId="0">
      <alignment vertical="center"/>
    </xf>
    <xf numFmtId="0" fontId="59" fillId="30" borderId="0">
      <alignment vertical="center"/>
    </xf>
    <xf numFmtId="0" fontId="59" fillId="30" borderId="0">
      <alignment vertical="center"/>
    </xf>
    <xf numFmtId="0" fontId="59" fillId="30" borderId="0">
      <alignment vertical="center"/>
    </xf>
    <xf numFmtId="0" fontId="59" fillId="30" borderId="0">
      <alignment vertical="center"/>
    </xf>
    <xf numFmtId="0" fontId="59" fillId="30" borderId="0">
      <alignment vertical="center"/>
    </xf>
    <xf numFmtId="0" fontId="59" fillId="30" borderId="0">
      <alignment vertical="center"/>
    </xf>
    <xf numFmtId="0" fontId="59" fillId="30" borderId="0">
      <alignment vertical="center"/>
    </xf>
    <xf numFmtId="0" fontId="59" fillId="30" borderId="0">
      <alignment vertical="center"/>
    </xf>
    <xf numFmtId="0" fontId="59" fillId="30" borderId="0">
      <alignment vertical="center"/>
    </xf>
    <xf numFmtId="0" fontId="59" fillId="30" borderId="0">
      <alignment vertical="center"/>
    </xf>
    <xf numFmtId="0" fontId="59" fillId="30" borderId="0">
      <alignment vertical="center"/>
    </xf>
    <xf numFmtId="0" fontId="59" fillId="30" borderId="0">
      <alignment vertical="center"/>
    </xf>
    <xf numFmtId="0" fontId="59" fillId="30" borderId="0">
      <alignment vertical="center"/>
    </xf>
    <xf numFmtId="0" fontId="59" fillId="30" borderId="0">
      <alignment vertical="center"/>
    </xf>
    <xf numFmtId="0" fontId="59" fillId="30" borderId="0">
      <alignment vertical="center"/>
    </xf>
    <xf numFmtId="0" fontId="59" fillId="30" borderId="0">
      <alignment vertical="center"/>
    </xf>
    <xf numFmtId="0" fontId="59" fillId="30" borderId="0">
      <alignment vertical="center"/>
    </xf>
    <xf numFmtId="0" fontId="59" fillId="30" borderId="0">
      <alignment vertical="center"/>
    </xf>
    <xf numFmtId="0" fontId="59" fillId="30" borderId="0">
      <alignment vertical="center"/>
    </xf>
    <xf numFmtId="0" fontId="59" fillId="30" borderId="0">
      <alignment vertical="center"/>
    </xf>
    <xf numFmtId="0" fontId="59" fillId="30" borderId="0">
      <alignment vertical="center"/>
    </xf>
    <xf numFmtId="0" fontId="59" fillId="30" borderId="0">
      <alignment vertical="center"/>
    </xf>
    <xf numFmtId="0" fontId="59" fillId="30" borderId="0">
      <alignment vertical="center"/>
    </xf>
    <xf numFmtId="0" fontId="59" fillId="30" borderId="0">
      <alignment vertical="center"/>
    </xf>
    <xf numFmtId="0" fontId="59" fillId="30" borderId="0">
      <alignment vertical="center"/>
    </xf>
    <xf numFmtId="0" fontId="59" fillId="30"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4" borderId="0">
      <alignment vertical="center"/>
    </xf>
    <xf numFmtId="0" fontId="59" fillId="34" borderId="0">
      <alignment vertical="center"/>
    </xf>
    <xf numFmtId="0" fontId="59" fillId="34" borderId="0">
      <alignment vertical="center"/>
    </xf>
    <xf numFmtId="0" fontId="59" fillId="34" borderId="0">
      <alignment vertical="center"/>
    </xf>
    <xf numFmtId="0" fontId="59" fillId="34" borderId="0">
      <alignment vertical="center"/>
    </xf>
    <xf numFmtId="0" fontId="59" fillId="34" borderId="0">
      <alignment vertical="center"/>
    </xf>
    <xf numFmtId="0" fontId="59" fillId="34" borderId="0">
      <alignment vertical="center"/>
    </xf>
    <xf numFmtId="0" fontId="59" fillId="34" borderId="0">
      <alignment vertical="center"/>
    </xf>
    <xf numFmtId="0" fontId="59" fillId="34" borderId="0">
      <alignment vertical="center"/>
    </xf>
    <xf numFmtId="0" fontId="59" fillId="34" borderId="0">
      <alignment vertical="center"/>
    </xf>
    <xf numFmtId="0" fontId="59" fillId="34" borderId="0">
      <alignment vertical="center"/>
    </xf>
    <xf numFmtId="0" fontId="59" fillId="34" borderId="0">
      <alignment vertical="center"/>
    </xf>
    <xf numFmtId="0" fontId="59" fillId="34" borderId="0">
      <alignment vertical="center"/>
    </xf>
    <xf numFmtId="0" fontId="59" fillId="34" borderId="0">
      <alignment vertical="center"/>
    </xf>
    <xf numFmtId="0" fontId="59" fillId="34" borderId="0">
      <alignment vertical="center"/>
    </xf>
    <xf numFmtId="0" fontId="59" fillId="34" borderId="0">
      <alignment vertical="center"/>
    </xf>
    <xf numFmtId="0" fontId="59" fillId="34" borderId="0">
      <alignment vertical="center"/>
    </xf>
    <xf numFmtId="0" fontId="59" fillId="34" borderId="0">
      <alignment vertical="center"/>
    </xf>
    <xf numFmtId="0" fontId="59" fillId="34" borderId="0">
      <alignment vertical="center"/>
    </xf>
    <xf numFmtId="0" fontId="59" fillId="34" borderId="0">
      <alignment vertical="center"/>
    </xf>
    <xf numFmtId="0" fontId="59" fillId="34" borderId="0">
      <alignment vertical="center"/>
    </xf>
    <xf numFmtId="0" fontId="59" fillId="34" borderId="0">
      <alignment vertical="center"/>
    </xf>
    <xf numFmtId="0" fontId="59" fillId="34" borderId="0">
      <alignment vertical="center"/>
    </xf>
    <xf numFmtId="0" fontId="59" fillId="34" borderId="0">
      <alignment vertical="center"/>
    </xf>
    <xf numFmtId="0" fontId="59" fillId="34" borderId="0">
      <alignment vertical="center"/>
    </xf>
    <xf numFmtId="0" fontId="59" fillId="34" borderId="0">
      <alignment vertical="center"/>
    </xf>
    <xf numFmtId="0" fontId="59" fillId="34" borderId="0">
      <alignment vertical="center"/>
    </xf>
    <xf numFmtId="0" fontId="59" fillId="34" borderId="0">
      <alignment vertical="center"/>
    </xf>
    <xf numFmtId="0" fontId="59" fillId="34" borderId="0">
      <alignment vertical="center"/>
    </xf>
    <xf numFmtId="0" fontId="58" fillId="35" borderId="0">
      <alignment vertical="center"/>
    </xf>
    <xf numFmtId="0" fontId="63" fillId="0" borderId="0">
      <alignment horizontal="center" vertical="center"/>
    </xf>
    <xf numFmtId="0" fontId="63" fillId="0" borderId="0">
      <alignment horizontal="center" vertical="center" textRotation="90"/>
    </xf>
    <xf numFmtId="0" fontId="64" fillId="0" borderId="0"/>
    <xf numFmtId="0" fontId="57" fillId="0" borderId="0">
      <alignment vertical="center"/>
    </xf>
    <xf numFmtId="0" fontId="65" fillId="0" borderId="0">
      <alignment vertical="center"/>
    </xf>
    <xf numFmtId="176" fontId="65" fillId="0" borderId="0">
      <alignment vertical="center"/>
    </xf>
    <xf numFmtId="0" fontId="59" fillId="38" borderId="0">
      <alignment vertical="center"/>
    </xf>
    <xf numFmtId="0" fontId="59" fillId="38" borderId="0">
      <alignment vertical="center"/>
    </xf>
    <xf numFmtId="0" fontId="59" fillId="38" borderId="0">
      <alignment vertical="center"/>
    </xf>
    <xf numFmtId="0" fontId="59" fillId="38" borderId="0">
      <alignment vertical="center"/>
    </xf>
    <xf numFmtId="0" fontId="59" fillId="38" borderId="0">
      <alignment vertical="center"/>
    </xf>
    <xf numFmtId="0" fontId="59" fillId="38" borderId="0">
      <alignment vertical="center"/>
    </xf>
    <xf numFmtId="0" fontId="59" fillId="38" borderId="0">
      <alignment vertical="center"/>
    </xf>
    <xf numFmtId="0" fontId="59" fillId="38" borderId="0">
      <alignment vertical="center"/>
    </xf>
    <xf numFmtId="0" fontId="59" fillId="38" borderId="0">
      <alignment vertical="center"/>
    </xf>
    <xf numFmtId="0" fontId="59" fillId="38" borderId="0">
      <alignment vertical="center"/>
    </xf>
    <xf numFmtId="0" fontId="59" fillId="38" borderId="0">
      <alignment vertical="center"/>
    </xf>
    <xf numFmtId="0" fontId="59" fillId="38" borderId="0">
      <alignment vertical="center"/>
    </xf>
    <xf numFmtId="0" fontId="59" fillId="38" borderId="0">
      <alignment vertical="center"/>
    </xf>
    <xf numFmtId="0" fontId="59" fillId="38" borderId="0">
      <alignment vertical="center"/>
    </xf>
    <xf numFmtId="0" fontId="59" fillId="38" borderId="0">
      <alignment vertical="center"/>
    </xf>
    <xf numFmtId="0" fontId="59" fillId="38" borderId="0">
      <alignment vertical="center"/>
    </xf>
    <xf numFmtId="0" fontId="59" fillId="38" borderId="0">
      <alignment vertical="center"/>
    </xf>
    <xf numFmtId="0" fontId="59" fillId="38" borderId="0">
      <alignment vertical="center"/>
    </xf>
    <xf numFmtId="0" fontId="59" fillId="38" borderId="0">
      <alignment vertical="center"/>
    </xf>
    <xf numFmtId="0" fontId="59" fillId="38" borderId="0">
      <alignment vertical="center"/>
    </xf>
    <xf numFmtId="0" fontId="59" fillId="38" borderId="0">
      <alignment vertical="center"/>
    </xf>
    <xf numFmtId="0" fontId="59" fillId="38" borderId="0">
      <alignment vertical="center"/>
    </xf>
    <xf numFmtId="0" fontId="59" fillId="38" borderId="0">
      <alignment vertical="center"/>
    </xf>
    <xf numFmtId="0" fontId="59" fillId="38" borderId="0">
      <alignment vertical="center"/>
    </xf>
    <xf numFmtId="0" fontId="59" fillId="38" borderId="0">
      <alignment vertical="center"/>
    </xf>
    <xf numFmtId="0" fontId="59" fillId="38" borderId="0">
      <alignment vertical="center"/>
    </xf>
    <xf numFmtId="0" fontId="59" fillId="38" borderId="0">
      <alignment vertical="center"/>
    </xf>
    <xf numFmtId="0" fontId="59" fillId="38" borderId="0">
      <alignment vertical="center"/>
    </xf>
    <xf numFmtId="0" fontId="59" fillId="38"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59" fillId="33" borderId="0">
      <alignment vertical="center"/>
    </xf>
    <xf numFmtId="0" fontId="66" fillId="0" borderId="0">
      <alignment vertical="center"/>
    </xf>
    <xf numFmtId="0" fontId="66" fillId="0" borderId="0">
      <alignment vertical="center"/>
    </xf>
    <xf numFmtId="0" fontId="66" fillId="0" borderId="0">
      <alignment vertical="center"/>
    </xf>
    <xf numFmtId="0" fontId="66" fillId="0" borderId="0">
      <alignment vertical="center"/>
    </xf>
    <xf numFmtId="0" fontId="66" fillId="0" borderId="0">
      <alignment vertical="center"/>
    </xf>
    <xf numFmtId="0" fontId="66" fillId="0" borderId="0">
      <alignment vertical="center"/>
    </xf>
    <xf numFmtId="0" fontId="66" fillId="0" borderId="0">
      <alignment vertical="center"/>
    </xf>
    <xf numFmtId="0" fontId="66" fillId="0" borderId="0">
      <alignment vertical="center"/>
    </xf>
    <xf numFmtId="0" fontId="66" fillId="0" borderId="0">
      <alignment vertical="center"/>
    </xf>
    <xf numFmtId="0" fontId="66" fillId="0" borderId="0">
      <alignment vertical="center"/>
    </xf>
    <xf numFmtId="0" fontId="66" fillId="0" borderId="0">
      <alignment vertical="center"/>
    </xf>
    <xf numFmtId="0" fontId="66" fillId="0" borderId="0">
      <alignment vertical="center"/>
    </xf>
    <xf numFmtId="0" fontId="66" fillId="0" borderId="0">
      <alignment vertical="center"/>
    </xf>
    <xf numFmtId="0" fontId="66" fillId="0" borderId="0">
      <alignment vertical="center"/>
    </xf>
    <xf numFmtId="0" fontId="66" fillId="0" borderId="0">
      <alignment vertical="center"/>
    </xf>
    <xf numFmtId="0" fontId="66" fillId="0" borderId="0">
      <alignment vertical="center"/>
    </xf>
    <xf numFmtId="0" fontId="66" fillId="0" borderId="0">
      <alignment vertical="center"/>
    </xf>
    <xf numFmtId="0" fontId="66" fillId="0" borderId="0">
      <alignment vertical="center"/>
    </xf>
    <xf numFmtId="0" fontId="66" fillId="0" borderId="0">
      <alignment vertical="center"/>
    </xf>
    <xf numFmtId="0" fontId="66" fillId="0" borderId="0">
      <alignment vertical="center"/>
    </xf>
    <xf numFmtId="0" fontId="66" fillId="0" borderId="0">
      <alignment vertical="center"/>
    </xf>
    <xf numFmtId="0" fontId="66" fillId="0" borderId="0">
      <alignment vertical="center"/>
    </xf>
    <xf numFmtId="0" fontId="66" fillId="0" borderId="0">
      <alignment vertical="center"/>
    </xf>
    <xf numFmtId="0" fontId="66" fillId="0" borderId="0">
      <alignment vertical="center"/>
    </xf>
    <xf numFmtId="0" fontId="66" fillId="0" borderId="0">
      <alignment vertical="center"/>
    </xf>
    <xf numFmtId="0" fontId="66" fillId="0" borderId="0">
      <alignment vertical="center"/>
    </xf>
    <xf numFmtId="0" fontId="66" fillId="0" borderId="0">
      <alignment vertical="center"/>
    </xf>
    <xf numFmtId="0" fontId="66" fillId="0" borderId="0">
      <alignment vertical="center"/>
    </xf>
    <xf numFmtId="0" fontId="66" fillId="0" borderId="0">
      <alignment vertical="center"/>
    </xf>
    <xf numFmtId="0" fontId="57" fillId="36" borderId="25">
      <alignment vertical="center"/>
    </xf>
    <xf numFmtId="0" fontId="57" fillId="36" borderId="25">
      <alignment vertical="center"/>
    </xf>
    <xf numFmtId="0" fontId="57" fillId="36" borderId="25">
      <alignment vertical="center"/>
    </xf>
    <xf numFmtId="0" fontId="57" fillId="36" borderId="25">
      <alignment vertical="center"/>
    </xf>
    <xf numFmtId="0" fontId="57" fillId="36" borderId="25">
      <alignment vertical="center"/>
    </xf>
    <xf numFmtId="0" fontId="57" fillId="36" borderId="25">
      <alignment vertical="center"/>
    </xf>
    <xf numFmtId="0" fontId="57" fillId="36" borderId="25">
      <alignment vertical="center"/>
    </xf>
    <xf numFmtId="0" fontId="57" fillId="36" borderId="25">
      <alignment vertical="center"/>
    </xf>
    <xf numFmtId="0" fontId="57" fillId="36" borderId="25">
      <alignment vertical="center"/>
    </xf>
    <xf numFmtId="0" fontId="57" fillId="36" borderId="25">
      <alignment vertical="center"/>
    </xf>
    <xf numFmtId="0" fontId="57" fillId="36" borderId="25">
      <alignment vertical="center"/>
    </xf>
    <xf numFmtId="0" fontId="57" fillId="36" borderId="25">
      <alignment vertical="center"/>
    </xf>
    <xf numFmtId="0" fontId="57" fillId="36" borderId="25">
      <alignment vertical="center"/>
    </xf>
    <xf numFmtId="0" fontId="57" fillId="36" borderId="25">
      <alignment vertical="center"/>
    </xf>
    <xf numFmtId="0" fontId="57" fillId="36" borderId="25">
      <alignment vertical="center"/>
    </xf>
    <xf numFmtId="0" fontId="57" fillId="36" borderId="25">
      <alignment vertical="center"/>
    </xf>
    <xf numFmtId="0" fontId="57" fillId="36" borderId="25">
      <alignment vertical="center"/>
    </xf>
    <xf numFmtId="0" fontId="57" fillId="36" borderId="25">
      <alignment vertical="center"/>
    </xf>
    <xf numFmtId="0" fontId="57" fillId="36" borderId="25">
      <alignment vertical="center"/>
    </xf>
    <xf numFmtId="0" fontId="57" fillId="36" borderId="25">
      <alignment vertical="center"/>
    </xf>
    <xf numFmtId="0" fontId="57" fillId="36" borderId="25">
      <alignment vertical="center"/>
    </xf>
    <xf numFmtId="0" fontId="57" fillId="36" borderId="25">
      <alignment vertical="center"/>
    </xf>
    <xf numFmtId="0" fontId="57" fillId="36" borderId="25">
      <alignment vertical="center"/>
    </xf>
    <xf numFmtId="0" fontId="57" fillId="36" borderId="25">
      <alignment vertical="center"/>
    </xf>
    <xf numFmtId="0" fontId="57" fillId="36" borderId="25">
      <alignment vertical="center"/>
    </xf>
    <xf numFmtId="0" fontId="57" fillId="36" borderId="25">
      <alignment vertical="center"/>
    </xf>
    <xf numFmtId="0" fontId="57" fillId="36" borderId="25">
      <alignment vertical="center"/>
    </xf>
    <xf numFmtId="0" fontId="57" fillId="36" borderId="25">
      <alignment vertical="center"/>
    </xf>
    <xf numFmtId="0" fontId="57" fillId="36" borderId="25">
      <alignment vertical="center"/>
    </xf>
    <xf numFmtId="0" fontId="60" fillId="37" borderId="26">
      <alignment vertical="center"/>
    </xf>
    <xf numFmtId="0" fontId="60" fillId="37" borderId="26">
      <alignment vertical="center"/>
    </xf>
    <xf numFmtId="0" fontId="60" fillId="37" borderId="26">
      <alignment vertical="center"/>
    </xf>
    <xf numFmtId="0" fontId="60" fillId="37" borderId="26">
      <alignment vertical="center"/>
    </xf>
    <xf numFmtId="0" fontId="60" fillId="37" borderId="26">
      <alignment vertical="center"/>
    </xf>
    <xf numFmtId="0" fontId="60" fillId="37" borderId="26">
      <alignment vertical="center"/>
    </xf>
    <xf numFmtId="0" fontId="60" fillId="37" borderId="26">
      <alignment vertical="center"/>
    </xf>
    <xf numFmtId="0" fontId="60" fillId="37" borderId="26">
      <alignment vertical="center"/>
    </xf>
    <xf numFmtId="0" fontId="60" fillId="37" borderId="26">
      <alignment vertical="center"/>
    </xf>
    <xf numFmtId="0" fontId="60" fillId="37" borderId="26">
      <alignment vertical="center"/>
    </xf>
    <xf numFmtId="0" fontId="60" fillId="37" borderId="26">
      <alignment vertical="center"/>
    </xf>
    <xf numFmtId="0" fontId="60" fillId="37" borderId="26">
      <alignment vertical="center"/>
    </xf>
    <xf numFmtId="0" fontId="60" fillId="37" borderId="26">
      <alignment vertical="center"/>
    </xf>
    <xf numFmtId="0" fontId="60" fillId="37" borderId="26">
      <alignment vertical="center"/>
    </xf>
    <xf numFmtId="0" fontId="60" fillId="37" borderId="26">
      <alignment vertical="center"/>
    </xf>
    <xf numFmtId="0" fontId="60" fillId="37" borderId="26">
      <alignment vertical="center"/>
    </xf>
    <xf numFmtId="0" fontId="60" fillId="37" borderId="26">
      <alignment vertical="center"/>
    </xf>
    <xf numFmtId="0" fontId="60" fillId="37" borderId="26">
      <alignment vertical="center"/>
    </xf>
    <xf numFmtId="0" fontId="60" fillId="37" borderId="26">
      <alignment vertical="center"/>
    </xf>
    <xf numFmtId="0" fontId="60" fillId="37" borderId="26">
      <alignment vertical="center"/>
    </xf>
    <xf numFmtId="0" fontId="60" fillId="37" borderId="26">
      <alignment vertical="center"/>
    </xf>
    <xf numFmtId="0" fontId="60" fillId="37" borderId="26">
      <alignment vertical="center"/>
    </xf>
    <xf numFmtId="0" fontId="60" fillId="37" borderId="26">
      <alignment vertical="center"/>
    </xf>
    <xf numFmtId="0" fontId="60" fillId="37" borderId="26">
      <alignment vertical="center"/>
    </xf>
    <xf numFmtId="0" fontId="60" fillId="37" borderId="26">
      <alignment vertical="center"/>
    </xf>
    <xf numFmtId="0" fontId="60" fillId="37" borderId="26">
      <alignment vertical="center"/>
    </xf>
    <xf numFmtId="0" fontId="60" fillId="37" borderId="26">
      <alignment vertical="center"/>
    </xf>
    <xf numFmtId="0" fontId="60" fillId="37" borderId="26">
      <alignment vertical="center"/>
    </xf>
    <xf numFmtId="0" fontId="60" fillId="37" borderId="26">
      <alignment vertical="center"/>
    </xf>
    <xf numFmtId="0" fontId="67" fillId="0" borderId="29">
      <alignment vertical="center"/>
    </xf>
    <xf numFmtId="0" fontId="67" fillId="0" borderId="29">
      <alignment vertical="center"/>
    </xf>
    <xf numFmtId="0" fontId="67" fillId="0" borderId="29">
      <alignment vertical="center"/>
    </xf>
    <xf numFmtId="0" fontId="67" fillId="0" borderId="29">
      <alignment vertical="center"/>
    </xf>
    <xf numFmtId="0" fontId="67" fillId="0" borderId="29">
      <alignment vertical="center"/>
    </xf>
    <xf numFmtId="0" fontId="67" fillId="0" borderId="29">
      <alignment vertical="center"/>
    </xf>
    <xf numFmtId="0" fontId="67" fillId="0" borderId="29">
      <alignment vertical="center"/>
    </xf>
    <xf numFmtId="0" fontId="67" fillId="0" borderId="29">
      <alignment vertical="center"/>
    </xf>
    <xf numFmtId="0" fontId="67" fillId="0" borderId="29">
      <alignment vertical="center"/>
    </xf>
    <xf numFmtId="0" fontId="67" fillId="0" borderId="29">
      <alignment vertical="center"/>
    </xf>
    <xf numFmtId="0" fontId="67" fillId="0" borderId="29">
      <alignment vertical="center"/>
    </xf>
    <xf numFmtId="0" fontId="67" fillId="0" borderId="29">
      <alignment vertical="center"/>
    </xf>
    <xf numFmtId="0" fontId="67" fillId="0" borderId="29">
      <alignment vertical="center"/>
    </xf>
    <xf numFmtId="0" fontId="67" fillId="0" borderId="29">
      <alignment vertical="center"/>
    </xf>
    <xf numFmtId="0" fontId="67" fillId="0" borderId="29">
      <alignment vertical="center"/>
    </xf>
    <xf numFmtId="0" fontId="67" fillId="0" borderId="29">
      <alignment vertical="center"/>
    </xf>
    <xf numFmtId="0" fontId="67" fillId="0" borderId="29">
      <alignment vertical="center"/>
    </xf>
    <xf numFmtId="0" fontId="67" fillId="0" borderId="29">
      <alignment vertical="center"/>
    </xf>
    <xf numFmtId="0" fontId="67" fillId="0" borderId="29">
      <alignment vertical="center"/>
    </xf>
    <xf numFmtId="0" fontId="67" fillId="0" borderId="29">
      <alignment vertical="center"/>
    </xf>
    <xf numFmtId="0" fontId="67" fillId="0" borderId="29">
      <alignment vertical="center"/>
    </xf>
    <xf numFmtId="0" fontId="67" fillId="0" borderId="29">
      <alignment vertical="center"/>
    </xf>
    <xf numFmtId="0" fontId="67" fillId="0" borderId="29">
      <alignment vertical="center"/>
    </xf>
    <xf numFmtId="0" fontId="67" fillId="0" borderId="29">
      <alignment vertical="center"/>
    </xf>
    <xf numFmtId="0" fontId="67" fillId="0" borderId="29">
      <alignment vertical="center"/>
    </xf>
    <xf numFmtId="0" fontId="67" fillId="0" borderId="29">
      <alignment vertical="center"/>
    </xf>
    <xf numFmtId="0" fontId="67" fillId="0" borderId="29">
      <alignment vertical="center"/>
    </xf>
    <xf numFmtId="0" fontId="67" fillId="0" borderId="29">
      <alignment vertical="center"/>
    </xf>
    <xf numFmtId="0" fontId="67" fillId="0" borderId="29">
      <alignment vertical="center"/>
    </xf>
    <xf numFmtId="0" fontId="68" fillId="0" borderId="27">
      <alignment vertical="center"/>
    </xf>
    <xf numFmtId="0" fontId="68" fillId="0" borderId="27">
      <alignment vertical="center"/>
    </xf>
    <xf numFmtId="0" fontId="68" fillId="0" borderId="27">
      <alignment vertical="center"/>
    </xf>
    <xf numFmtId="0" fontId="68" fillId="0" borderId="27">
      <alignment vertical="center"/>
    </xf>
    <xf numFmtId="0" fontId="68" fillId="0" borderId="27">
      <alignment vertical="center"/>
    </xf>
    <xf numFmtId="0" fontId="68" fillId="0" borderId="27">
      <alignment vertical="center"/>
    </xf>
    <xf numFmtId="0" fontId="68" fillId="0" borderId="27">
      <alignment vertical="center"/>
    </xf>
    <xf numFmtId="0" fontId="68" fillId="0" borderId="27">
      <alignment vertical="center"/>
    </xf>
    <xf numFmtId="0" fontId="68" fillId="0" borderId="27">
      <alignment vertical="center"/>
    </xf>
    <xf numFmtId="0" fontId="68" fillId="0" borderId="27">
      <alignment vertical="center"/>
    </xf>
    <xf numFmtId="0" fontId="68" fillId="0" borderId="27">
      <alignment vertical="center"/>
    </xf>
    <xf numFmtId="0" fontId="68" fillId="0" borderId="27">
      <alignment vertical="center"/>
    </xf>
    <xf numFmtId="0" fontId="68" fillId="0" borderId="27">
      <alignment vertical="center"/>
    </xf>
    <xf numFmtId="0" fontId="68" fillId="0" borderId="27">
      <alignment vertical="center"/>
    </xf>
    <xf numFmtId="0" fontId="68" fillId="0" borderId="27">
      <alignment vertical="center"/>
    </xf>
    <xf numFmtId="0" fontId="68" fillId="0" borderId="27">
      <alignment vertical="center"/>
    </xf>
    <xf numFmtId="0" fontId="68" fillId="0" borderId="27">
      <alignment vertical="center"/>
    </xf>
    <xf numFmtId="0" fontId="68" fillId="0" borderId="27">
      <alignment vertical="center"/>
    </xf>
    <xf numFmtId="0" fontId="68" fillId="0" borderId="27">
      <alignment vertical="center"/>
    </xf>
    <xf numFmtId="0" fontId="68" fillId="0" borderId="27">
      <alignment vertical="center"/>
    </xf>
    <xf numFmtId="0" fontId="68" fillId="0" borderId="27">
      <alignment vertical="center"/>
    </xf>
    <xf numFmtId="0" fontId="68" fillId="0" borderId="27">
      <alignment vertical="center"/>
    </xf>
    <xf numFmtId="0" fontId="68" fillId="0" borderId="27">
      <alignment vertical="center"/>
    </xf>
    <xf numFmtId="0" fontId="68" fillId="0" borderId="27">
      <alignment vertical="center"/>
    </xf>
    <xf numFmtId="0" fontId="68" fillId="0" borderId="27">
      <alignment vertical="center"/>
    </xf>
    <xf numFmtId="0" fontId="68" fillId="0" borderId="27">
      <alignment vertical="center"/>
    </xf>
    <xf numFmtId="0" fontId="68" fillId="0" borderId="27">
      <alignment vertical="center"/>
    </xf>
    <xf numFmtId="0" fontId="68" fillId="0" borderId="27">
      <alignment vertical="center"/>
    </xf>
    <xf numFmtId="0" fontId="68" fillId="0" borderId="27">
      <alignment vertical="center"/>
    </xf>
    <xf numFmtId="0" fontId="69" fillId="0" borderId="30">
      <alignment vertical="center"/>
    </xf>
    <xf numFmtId="0" fontId="69" fillId="0" borderId="30">
      <alignment vertical="center"/>
    </xf>
    <xf numFmtId="0" fontId="69" fillId="0" borderId="30">
      <alignment vertical="center"/>
    </xf>
    <xf numFmtId="0" fontId="69" fillId="0" borderId="30">
      <alignment vertical="center"/>
    </xf>
    <xf numFmtId="0" fontId="69" fillId="0" borderId="30">
      <alignment vertical="center"/>
    </xf>
    <xf numFmtId="0" fontId="69" fillId="0" borderId="30">
      <alignment vertical="center"/>
    </xf>
    <xf numFmtId="0" fontId="69" fillId="0" borderId="30">
      <alignment vertical="center"/>
    </xf>
    <xf numFmtId="0" fontId="69" fillId="0" borderId="30">
      <alignment vertical="center"/>
    </xf>
    <xf numFmtId="0" fontId="69" fillId="0" borderId="30">
      <alignment vertical="center"/>
    </xf>
    <xf numFmtId="0" fontId="69" fillId="0" borderId="30">
      <alignment vertical="center"/>
    </xf>
    <xf numFmtId="0" fontId="69" fillId="0" borderId="30">
      <alignment vertical="center"/>
    </xf>
    <xf numFmtId="0" fontId="69" fillId="0" borderId="30">
      <alignment vertical="center"/>
    </xf>
    <xf numFmtId="0" fontId="69" fillId="0" borderId="30">
      <alignment vertical="center"/>
    </xf>
    <xf numFmtId="0" fontId="69" fillId="0" borderId="30">
      <alignment vertical="center"/>
    </xf>
    <xf numFmtId="0" fontId="69" fillId="0" borderId="30">
      <alignment vertical="center"/>
    </xf>
    <xf numFmtId="0" fontId="69" fillId="0" borderId="30">
      <alignment vertical="center"/>
    </xf>
    <xf numFmtId="0" fontId="69" fillId="0" borderId="30">
      <alignment vertical="center"/>
    </xf>
    <xf numFmtId="0" fontId="69" fillId="0" borderId="30">
      <alignment vertical="center"/>
    </xf>
    <xf numFmtId="0" fontId="69" fillId="0" borderId="30">
      <alignment vertical="center"/>
    </xf>
    <xf numFmtId="0" fontId="69" fillId="0" borderId="30">
      <alignment vertical="center"/>
    </xf>
    <xf numFmtId="0" fontId="69" fillId="0" borderId="30">
      <alignment vertical="center"/>
    </xf>
    <xf numFmtId="0" fontId="69" fillId="0" borderId="30">
      <alignment vertical="center"/>
    </xf>
    <xf numFmtId="0" fontId="69" fillId="0" borderId="30">
      <alignment vertical="center"/>
    </xf>
    <xf numFmtId="0" fontId="69" fillId="0" borderId="30">
      <alignment vertical="center"/>
    </xf>
    <xf numFmtId="0" fontId="69" fillId="0" borderId="30">
      <alignment vertical="center"/>
    </xf>
    <xf numFmtId="0" fontId="69" fillId="0" borderId="30">
      <alignment vertical="center"/>
    </xf>
    <xf numFmtId="0" fontId="69" fillId="0" borderId="30">
      <alignment vertical="center"/>
    </xf>
    <xf numFmtId="0" fontId="69" fillId="0" borderId="30">
      <alignment vertical="center"/>
    </xf>
    <xf numFmtId="0" fontId="69" fillId="0" borderId="3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1" fillId="0" borderId="31">
      <alignment vertical="center"/>
    </xf>
    <xf numFmtId="0" fontId="61" fillId="0" borderId="31">
      <alignment vertical="center"/>
    </xf>
    <xf numFmtId="0" fontId="61" fillId="0" borderId="31">
      <alignment vertical="center"/>
    </xf>
    <xf numFmtId="0" fontId="61" fillId="0" borderId="31">
      <alignment vertical="center"/>
    </xf>
    <xf numFmtId="0" fontId="61" fillId="0" borderId="31">
      <alignment vertical="center"/>
    </xf>
    <xf numFmtId="0" fontId="61" fillId="0" borderId="31">
      <alignment vertical="center"/>
    </xf>
    <xf numFmtId="0" fontId="61" fillId="0" borderId="31">
      <alignment vertical="center"/>
    </xf>
    <xf numFmtId="0" fontId="61" fillId="0" borderId="31">
      <alignment vertical="center"/>
    </xf>
    <xf numFmtId="0" fontId="61" fillId="0" borderId="31">
      <alignment vertical="center"/>
    </xf>
    <xf numFmtId="0" fontId="61" fillId="0" borderId="31">
      <alignment vertical="center"/>
    </xf>
    <xf numFmtId="0" fontId="61" fillId="0" borderId="31">
      <alignment vertical="center"/>
    </xf>
    <xf numFmtId="0" fontId="61" fillId="0" borderId="31">
      <alignment vertical="center"/>
    </xf>
    <xf numFmtId="0" fontId="61" fillId="0" borderId="31">
      <alignment vertical="center"/>
    </xf>
    <xf numFmtId="0" fontId="61" fillId="0" borderId="31">
      <alignment vertical="center"/>
    </xf>
    <xf numFmtId="0" fontId="61" fillId="0" borderId="31">
      <alignment vertical="center"/>
    </xf>
    <xf numFmtId="0" fontId="61" fillId="0" borderId="31">
      <alignment vertical="center"/>
    </xf>
    <xf numFmtId="0" fontId="61" fillId="0" borderId="31">
      <alignment vertical="center"/>
    </xf>
    <xf numFmtId="0" fontId="61" fillId="0" borderId="31">
      <alignment vertical="center"/>
    </xf>
    <xf numFmtId="0" fontId="61" fillId="0" borderId="31">
      <alignment vertical="center"/>
    </xf>
    <xf numFmtId="0" fontId="61" fillId="0" borderId="31">
      <alignment vertical="center"/>
    </xf>
    <xf numFmtId="0" fontId="61" fillId="0" borderId="31">
      <alignment vertical="center"/>
    </xf>
    <xf numFmtId="0" fontId="61" fillId="0" borderId="31">
      <alignment vertical="center"/>
    </xf>
    <xf numFmtId="0" fontId="61" fillId="0" borderId="31">
      <alignment vertical="center"/>
    </xf>
    <xf numFmtId="0" fontId="61" fillId="0" borderId="31">
      <alignment vertical="center"/>
    </xf>
    <xf numFmtId="0" fontId="61" fillId="0" borderId="31">
      <alignment vertical="center"/>
    </xf>
    <xf numFmtId="0" fontId="61" fillId="0" borderId="31">
      <alignment vertical="center"/>
    </xf>
    <xf numFmtId="0" fontId="61" fillId="0" borderId="31">
      <alignment vertical="center"/>
    </xf>
    <xf numFmtId="0" fontId="61" fillId="0" borderId="31">
      <alignment vertical="center"/>
    </xf>
    <xf numFmtId="0" fontId="61" fillId="0" borderId="31">
      <alignment vertical="center"/>
    </xf>
    <xf numFmtId="0" fontId="62" fillId="37" borderId="28">
      <alignment vertical="center"/>
    </xf>
    <xf numFmtId="0" fontId="62" fillId="37" borderId="28">
      <alignment vertical="center"/>
    </xf>
    <xf numFmtId="0" fontId="62" fillId="37" borderId="28">
      <alignment vertical="center"/>
    </xf>
    <xf numFmtId="0" fontId="62" fillId="37" borderId="28">
      <alignment vertical="center"/>
    </xf>
    <xf numFmtId="0" fontId="62" fillId="37" borderId="28">
      <alignment vertical="center"/>
    </xf>
    <xf numFmtId="0" fontId="62" fillId="37" borderId="28">
      <alignment vertical="center"/>
    </xf>
    <xf numFmtId="0" fontId="62" fillId="37" borderId="28">
      <alignment vertical="center"/>
    </xf>
    <xf numFmtId="0" fontId="62" fillId="37" borderId="28">
      <alignment vertical="center"/>
    </xf>
    <xf numFmtId="0" fontId="62" fillId="37" borderId="28">
      <alignment vertical="center"/>
    </xf>
    <xf numFmtId="0" fontId="62" fillId="37" borderId="28">
      <alignment vertical="center"/>
    </xf>
    <xf numFmtId="0" fontId="62" fillId="37" borderId="28">
      <alignment vertical="center"/>
    </xf>
    <xf numFmtId="0" fontId="62" fillId="37" borderId="28">
      <alignment vertical="center"/>
    </xf>
    <xf numFmtId="0" fontId="62" fillId="37" borderId="28">
      <alignment vertical="center"/>
    </xf>
    <xf numFmtId="0" fontId="62" fillId="37" borderId="28">
      <alignment vertical="center"/>
    </xf>
    <xf numFmtId="0" fontId="62" fillId="37" borderId="28">
      <alignment vertical="center"/>
    </xf>
    <xf numFmtId="0" fontId="62" fillId="37" borderId="28">
      <alignment vertical="center"/>
    </xf>
    <xf numFmtId="0" fontId="62" fillId="37" borderId="28">
      <alignment vertical="center"/>
    </xf>
    <xf numFmtId="0" fontId="62" fillId="37" borderId="28">
      <alignment vertical="center"/>
    </xf>
    <xf numFmtId="0" fontId="62" fillId="37" borderId="28">
      <alignment vertical="center"/>
    </xf>
    <xf numFmtId="0" fontId="62" fillId="37" borderId="28">
      <alignment vertical="center"/>
    </xf>
    <xf numFmtId="0" fontId="62" fillId="37" borderId="28">
      <alignment vertical="center"/>
    </xf>
    <xf numFmtId="0" fontId="62" fillId="37" borderId="28">
      <alignment vertical="center"/>
    </xf>
    <xf numFmtId="0" fontId="62" fillId="37" borderId="28">
      <alignment vertical="center"/>
    </xf>
    <xf numFmtId="0" fontId="62" fillId="37" borderId="28">
      <alignment vertical="center"/>
    </xf>
    <xf numFmtId="0" fontId="62" fillId="37" borderId="28">
      <alignment vertical="center"/>
    </xf>
    <xf numFmtId="0" fontId="62" fillId="37" borderId="28">
      <alignment vertical="center"/>
    </xf>
    <xf numFmtId="0" fontId="62" fillId="37" borderId="28">
      <alignment vertical="center"/>
    </xf>
    <xf numFmtId="0" fontId="62" fillId="37" borderId="28">
      <alignment vertical="center"/>
    </xf>
    <xf numFmtId="0" fontId="62" fillId="37" borderId="28">
      <alignment vertical="center"/>
    </xf>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70" fillId="0" borderId="0"/>
    <xf numFmtId="0" fontId="72" fillId="0" borderId="0" applyNumberForma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 fillId="0" borderId="0">
      <alignment vertical="center"/>
    </xf>
  </cellStyleXfs>
  <cellXfs count="227">
    <xf numFmtId="0" fontId="0" fillId="0" borderId="0" xfId="0"/>
    <xf numFmtId="0" fontId="0" fillId="0" borderId="0" xfId="0" applyAlignment="1">
      <alignment vertical="center"/>
    </xf>
    <xf numFmtId="0" fontId="5" fillId="0" borderId="0" xfId="0" applyFont="1" applyAlignment="1">
      <alignment vertical="center"/>
    </xf>
    <xf numFmtId="0" fontId="5" fillId="0" borderId="0" xfId="0" applyFont="1"/>
    <xf numFmtId="0" fontId="0" fillId="0" borderId="1" xfId="0" applyBorder="1" applyAlignment="1">
      <alignment horizontal="center" vertical="center"/>
    </xf>
    <xf numFmtId="0" fontId="0" fillId="2" borderId="0" xfId="0" applyFill="1"/>
    <xf numFmtId="0" fontId="7" fillId="0" borderId="0" xfId="0" applyFont="1"/>
    <xf numFmtId="0" fontId="10" fillId="0" borderId="1" xfId="0" applyFont="1" applyBorder="1" applyAlignment="1">
      <alignment horizontal="center" vertical="center"/>
    </xf>
    <xf numFmtId="0" fontId="10" fillId="0" borderId="0" xfId="0" applyFont="1"/>
    <xf numFmtId="0" fontId="12" fillId="0" borderId="0" xfId="0" applyFont="1"/>
    <xf numFmtId="0" fontId="11" fillId="0" borderId="0" xfId="0" applyFont="1"/>
    <xf numFmtId="0" fontId="10" fillId="0" borderId="1" xfId="0" applyFont="1" applyBorder="1"/>
    <xf numFmtId="0" fontId="10" fillId="0" borderId="2" xfId="0" applyFont="1" applyBorder="1"/>
    <xf numFmtId="0" fontId="14" fillId="0" borderId="0" xfId="0" applyFont="1"/>
    <xf numFmtId="14" fontId="14" fillId="0" borderId="0" xfId="0" applyNumberFormat="1" applyFont="1"/>
    <xf numFmtId="0" fontId="11" fillId="0" borderId="1" xfId="0" applyFont="1" applyBorder="1"/>
    <xf numFmtId="0" fontId="5" fillId="0" borderId="1" xfId="0" applyFont="1" applyBorder="1"/>
    <xf numFmtId="0" fontId="15" fillId="0" borderId="2" xfId="0" applyFont="1" applyBorder="1"/>
    <xf numFmtId="0" fontId="15" fillId="0" borderId="0" xfId="0" applyFont="1"/>
    <xf numFmtId="0" fontId="16" fillId="0" borderId="0" xfId="0" applyFont="1"/>
    <xf numFmtId="0" fontId="12" fillId="3" borderId="0" xfId="0" applyFont="1" applyFill="1"/>
    <xf numFmtId="0" fontId="18" fillId="0" borderId="0" xfId="0" applyFont="1"/>
    <xf numFmtId="0" fontId="19" fillId="0" borderId="2" xfId="0" applyFont="1" applyBorder="1"/>
    <xf numFmtId="0" fontId="19" fillId="0" borderId="0" xfId="0" applyFont="1"/>
    <xf numFmtId="0" fontId="11" fillId="0" borderId="2" xfId="0" applyFont="1" applyBorder="1" applyAlignment="1">
      <alignment vertical="center"/>
    </xf>
    <xf numFmtId="0" fontId="11" fillId="0" borderId="2" xfId="0" applyFont="1" applyBorder="1"/>
    <xf numFmtId="0" fontId="11" fillId="0" borderId="3" xfId="0" applyFont="1" applyBorder="1" applyAlignment="1">
      <alignment vertical="center"/>
    </xf>
    <xf numFmtId="0" fontId="11" fillId="0" borderId="4" xfId="0" applyFont="1" applyBorder="1" applyAlignment="1">
      <alignment vertical="center"/>
    </xf>
    <xf numFmtId="0" fontId="11" fillId="0" borderId="5" xfId="0" applyFont="1" applyBorder="1" applyAlignment="1">
      <alignment vertical="center"/>
    </xf>
    <xf numFmtId="0" fontId="15" fillId="0" borderId="4" xfId="0" applyFont="1" applyBorder="1" applyAlignment="1">
      <alignment vertical="center"/>
    </xf>
    <xf numFmtId="0" fontId="15" fillId="0" borderId="5" xfId="0" applyFont="1" applyBorder="1" applyAlignment="1">
      <alignment vertical="center"/>
    </xf>
    <xf numFmtId="0" fontId="15" fillId="0" borderId="3" xfId="0" applyFont="1" applyBorder="1" applyAlignment="1">
      <alignment vertical="center"/>
    </xf>
    <xf numFmtId="0" fontId="10" fillId="0" borderId="4" xfId="0" applyFont="1" applyBorder="1"/>
    <xf numFmtId="0" fontId="11" fillId="0" borderId="4" xfId="0" applyFont="1" applyBorder="1" applyAlignment="1">
      <alignment vertical="center" wrapText="1"/>
    </xf>
    <xf numFmtId="0" fontId="12" fillId="0" borderId="4" xfId="0" applyFont="1" applyBorder="1" applyAlignment="1">
      <alignment vertical="center"/>
    </xf>
    <xf numFmtId="0" fontId="17" fillId="0" borderId="3" xfId="0" applyFont="1" applyBorder="1" applyAlignment="1">
      <alignment vertical="center"/>
    </xf>
    <xf numFmtId="0" fontId="13" fillId="0" borderId="4" xfId="0" applyFont="1" applyBorder="1" applyAlignment="1">
      <alignment vertical="center"/>
    </xf>
    <xf numFmtId="0" fontId="17" fillId="0" borderId="4" xfId="0" applyFont="1" applyBorder="1" applyAlignment="1">
      <alignment vertical="center"/>
    </xf>
    <xf numFmtId="0" fontId="13" fillId="0" borderId="5" xfId="0" applyFont="1" applyBorder="1" applyAlignment="1">
      <alignment vertical="center"/>
    </xf>
    <xf numFmtId="0" fontId="11" fillId="0" borderId="0" xfId="0" applyFont="1" applyAlignment="1">
      <alignment vertical="center"/>
    </xf>
    <xf numFmtId="0" fontId="12" fillId="0" borderId="0" xfId="0" applyFont="1" applyAlignment="1">
      <alignment vertical="center"/>
    </xf>
    <xf numFmtId="0" fontId="12" fillId="3" borderId="0" xfId="0" applyFont="1" applyFill="1" applyAlignment="1">
      <alignment vertical="center"/>
    </xf>
    <xf numFmtId="0" fontId="11" fillId="0" borderId="1" xfId="0" applyFont="1" applyBorder="1" applyAlignment="1">
      <alignment vertical="center"/>
    </xf>
    <xf numFmtId="0" fontId="15" fillId="0" borderId="0" xfId="0" applyFont="1" applyAlignment="1">
      <alignment vertical="center"/>
    </xf>
    <xf numFmtId="0" fontId="15" fillId="0" borderId="2" xfId="0" applyFont="1" applyBorder="1" applyAlignment="1">
      <alignment vertical="center"/>
    </xf>
    <xf numFmtId="0" fontId="11" fillId="2" borderId="4" xfId="0" applyFont="1" applyFill="1" applyBorder="1" applyAlignment="1">
      <alignment vertical="center"/>
    </xf>
    <xf numFmtId="0" fontId="11" fillId="4" borderId="4" xfId="0" applyFont="1" applyFill="1" applyBorder="1" applyAlignment="1">
      <alignment vertical="center"/>
    </xf>
    <xf numFmtId="0" fontId="16" fillId="0" borderId="0" xfId="0" applyFont="1" applyAlignment="1">
      <alignment vertical="center"/>
    </xf>
    <xf numFmtId="14" fontId="0" fillId="0" borderId="15" xfId="0" applyNumberFormat="1" applyBorder="1" applyAlignment="1">
      <alignment horizontal="center" vertical="center"/>
    </xf>
    <xf numFmtId="0" fontId="0" fillId="0" borderId="15" xfId="0" applyBorder="1" applyAlignment="1">
      <alignment horizontal="center" vertical="center" wrapText="1"/>
    </xf>
    <xf numFmtId="0" fontId="0" fillId="0" borderId="14" xfId="0" applyBorder="1" applyAlignment="1">
      <alignment horizontal="center" vertical="center" wrapText="1"/>
    </xf>
    <xf numFmtId="0" fontId="0" fillId="0" borderId="17" xfId="0" applyBorder="1" applyAlignment="1">
      <alignment horizontal="center" vertical="center" wrapText="1"/>
    </xf>
    <xf numFmtId="0" fontId="0" fillId="0" borderId="14" xfId="0" applyBorder="1" applyAlignment="1">
      <alignment horizontal="center" vertical="center"/>
    </xf>
    <xf numFmtId="14" fontId="0" fillId="0" borderId="14" xfId="0" applyNumberFormat="1" applyBorder="1" applyAlignment="1">
      <alignment horizontal="center" vertical="center"/>
    </xf>
    <xf numFmtId="0" fontId="0" fillId="0" borderId="17" xfId="0" applyBorder="1" applyAlignment="1">
      <alignment horizontal="center" vertical="center"/>
    </xf>
    <xf numFmtId="0" fontId="16" fillId="0" borderId="3" xfId="0" applyFont="1" applyBorder="1" applyAlignment="1">
      <alignment vertical="center"/>
    </xf>
    <xf numFmtId="0" fontId="16" fillId="0" borderId="15" xfId="0" applyFont="1" applyBorder="1" applyAlignment="1">
      <alignment vertical="center"/>
    </xf>
    <xf numFmtId="0" fontId="38" fillId="0" borderId="15" xfId="0" applyFont="1" applyBorder="1" applyAlignment="1">
      <alignment vertical="center" wrapText="1"/>
    </xf>
    <xf numFmtId="0" fontId="16" fillId="0" borderId="14" xfId="0" applyFont="1" applyBorder="1" applyAlignment="1">
      <alignment vertical="center"/>
    </xf>
    <xf numFmtId="0" fontId="16" fillId="0" borderId="17" xfId="0" applyFont="1" applyBorder="1" applyAlignment="1">
      <alignment vertical="center" wrapText="1"/>
    </xf>
    <xf numFmtId="0" fontId="16" fillId="0" borderId="4" xfId="0" applyFont="1" applyBorder="1" applyAlignment="1">
      <alignment vertical="center"/>
    </xf>
    <xf numFmtId="0" fontId="16" fillId="0" borderId="18" xfId="0" applyFont="1" applyBorder="1" applyAlignment="1">
      <alignment vertical="center"/>
    </xf>
    <xf numFmtId="0" fontId="16" fillId="0" borderId="2" xfId="0" applyFont="1" applyBorder="1" applyAlignment="1">
      <alignment vertical="center"/>
    </xf>
    <xf numFmtId="0" fontId="38" fillId="0" borderId="2" xfId="0" applyFont="1" applyBorder="1" applyAlignment="1">
      <alignment vertical="center"/>
    </xf>
    <xf numFmtId="0" fontId="5" fillId="0" borderId="4" xfId="0" applyFont="1" applyBorder="1" applyAlignment="1">
      <alignment vertical="center"/>
    </xf>
    <xf numFmtId="0" fontId="5" fillId="0" borderId="15" xfId="0" applyFont="1" applyBorder="1" applyAlignment="1">
      <alignment vertical="center"/>
    </xf>
    <xf numFmtId="0" fontId="5" fillId="0" borderId="18" xfId="0" applyFont="1" applyBorder="1" applyAlignment="1">
      <alignment vertical="center"/>
    </xf>
    <xf numFmtId="0" fontId="16" fillId="0" borderId="5" xfId="0" applyFont="1" applyBorder="1" applyAlignment="1">
      <alignment vertical="center"/>
    </xf>
    <xf numFmtId="0" fontId="16" fillId="0" borderId="1" xfId="0" applyFont="1" applyBorder="1" applyAlignment="1">
      <alignment vertical="center"/>
    </xf>
    <xf numFmtId="0" fontId="5" fillId="0" borderId="3" xfId="0" applyFont="1" applyBorder="1" applyAlignment="1">
      <alignment vertical="center"/>
    </xf>
    <xf numFmtId="0" fontId="5" fillId="0" borderId="2" xfId="0" applyFont="1" applyBorder="1" applyAlignment="1">
      <alignment vertical="center"/>
    </xf>
    <xf numFmtId="0" fontId="5" fillId="0" borderId="4" xfId="0" applyFont="1" applyBorder="1" applyAlignment="1">
      <alignment vertical="center" wrapText="1"/>
    </xf>
    <xf numFmtId="0" fontId="18" fillId="0" borderId="4" xfId="0" applyFont="1" applyBorder="1" applyAlignment="1">
      <alignment vertical="center"/>
    </xf>
    <xf numFmtId="0" fontId="18" fillId="0" borderId="0" xfId="0" applyFont="1" applyAlignment="1">
      <alignment vertical="center"/>
    </xf>
    <xf numFmtId="0" fontId="18" fillId="0" borderId="18" xfId="0" applyFont="1" applyBorder="1" applyAlignment="1">
      <alignment vertical="center"/>
    </xf>
    <xf numFmtId="0" fontId="18" fillId="0" borderId="4" xfId="0" applyFont="1" applyBorder="1" applyAlignment="1">
      <alignment vertical="center" wrapText="1"/>
    </xf>
    <xf numFmtId="0" fontId="16" fillId="0" borderId="4" xfId="0" applyFont="1" applyBorder="1" applyAlignment="1">
      <alignment vertical="center" wrapText="1"/>
    </xf>
    <xf numFmtId="0" fontId="16" fillId="0" borderId="0" xfId="0" applyFont="1" applyAlignment="1">
      <alignment vertical="center" wrapText="1"/>
    </xf>
    <xf numFmtId="0" fontId="38" fillId="0" borderId="15" xfId="0" applyFont="1" applyBorder="1" applyAlignment="1">
      <alignment vertical="center"/>
    </xf>
    <xf numFmtId="0" fontId="40" fillId="0" borderId="18" xfId="0" applyFont="1" applyBorder="1"/>
    <xf numFmtId="0" fontId="5" fillId="0" borderId="5" xfId="0" applyFont="1" applyBorder="1" applyAlignment="1">
      <alignment vertical="center"/>
    </xf>
    <xf numFmtId="0" fontId="5" fillId="0" borderId="1" xfId="0" applyFont="1" applyBorder="1" applyAlignment="1">
      <alignment vertical="center"/>
    </xf>
    <xf numFmtId="0" fontId="16" fillId="0" borderId="19" xfId="0" applyFont="1" applyBorder="1" applyAlignment="1">
      <alignment vertical="center"/>
    </xf>
    <xf numFmtId="0" fontId="38" fillId="0" borderId="4" xfId="0" applyFont="1" applyBorder="1" applyAlignment="1">
      <alignment vertical="center"/>
    </xf>
    <xf numFmtId="0" fontId="38" fillId="0" borderId="0" xfId="0" applyFont="1" applyAlignment="1">
      <alignment vertical="center"/>
    </xf>
    <xf numFmtId="0" fontId="38" fillId="0" borderId="5" xfId="0" applyFont="1" applyBorder="1" applyAlignment="1">
      <alignment vertical="center"/>
    </xf>
    <xf numFmtId="0" fontId="38" fillId="0" borderId="17" xfId="0" applyFont="1" applyBorder="1" applyAlignment="1">
      <alignment vertical="center"/>
    </xf>
    <xf numFmtId="0" fontId="38" fillId="0" borderId="22" xfId="0" applyFont="1" applyBorder="1" applyAlignment="1">
      <alignment vertical="center"/>
    </xf>
    <xf numFmtId="0" fontId="38" fillId="0" borderId="18" xfId="0" applyFont="1" applyBorder="1" applyAlignment="1">
      <alignment vertical="center"/>
    </xf>
    <xf numFmtId="0" fontId="39" fillId="0" borderId="18" xfId="0" applyFont="1" applyBorder="1" applyAlignment="1">
      <alignment horizontal="center" vertical="center"/>
    </xf>
    <xf numFmtId="0" fontId="16" fillId="0" borderId="22" xfId="0" applyFont="1" applyBorder="1" applyAlignment="1">
      <alignment vertical="center"/>
    </xf>
    <xf numFmtId="0" fontId="0" fillId="0" borderId="18" xfId="0" applyBorder="1" applyAlignment="1">
      <alignment vertical="center"/>
    </xf>
    <xf numFmtId="0" fontId="0" fillId="0" borderId="4" xfId="0" applyBorder="1" applyAlignment="1">
      <alignment vertical="center"/>
    </xf>
    <xf numFmtId="0" fontId="38" fillId="0" borderId="4" xfId="0" applyFont="1" applyBorder="1" applyAlignment="1">
      <alignment horizontal="center" vertical="center"/>
    </xf>
    <xf numFmtId="0" fontId="5" fillId="0" borderId="22" xfId="0" applyFont="1" applyBorder="1" applyAlignment="1">
      <alignment vertical="center"/>
    </xf>
    <xf numFmtId="0" fontId="5" fillId="0" borderId="19" xfId="0" applyFont="1" applyBorder="1" applyAlignment="1">
      <alignment vertical="center"/>
    </xf>
    <xf numFmtId="0" fontId="5" fillId="0" borderId="18" xfId="0" applyFont="1" applyBorder="1" applyAlignment="1">
      <alignment horizontal="center" vertical="center" wrapText="1"/>
    </xf>
    <xf numFmtId="0" fontId="16" fillId="0" borderId="18" xfId="0" applyFont="1" applyBorder="1" applyAlignment="1">
      <alignment horizontal="center" vertical="center"/>
    </xf>
    <xf numFmtId="0" fontId="39" fillId="21" borderId="0" xfId="0" applyFont="1" applyFill="1" applyAlignment="1">
      <alignment vertical="center" wrapText="1"/>
    </xf>
    <xf numFmtId="0" fontId="18" fillId="0" borderId="19" xfId="0" applyFont="1" applyBorder="1" applyAlignment="1">
      <alignment vertical="center"/>
    </xf>
    <xf numFmtId="0" fontId="41" fillId="0" borderId="18" xfId="0" applyFont="1" applyBorder="1" applyAlignment="1">
      <alignment wrapText="1"/>
    </xf>
    <xf numFmtId="0" fontId="42" fillId="0" borderId="18" xfId="0" applyFont="1" applyBorder="1" applyAlignment="1">
      <alignment wrapText="1"/>
    </xf>
    <xf numFmtId="0" fontId="39" fillId="22" borderId="19" xfId="0" applyFont="1" applyFill="1" applyBorder="1" applyAlignment="1">
      <alignment vertical="center" wrapText="1"/>
    </xf>
    <xf numFmtId="0" fontId="5" fillId="0" borderId="22" xfId="0" applyFont="1" applyBorder="1" applyAlignment="1">
      <alignment vertical="center" wrapText="1"/>
    </xf>
    <xf numFmtId="0" fontId="5" fillId="0" borderId="14" xfId="0" applyFont="1" applyBorder="1" applyAlignment="1">
      <alignment vertical="center"/>
    </xf>
    <xf numFmtId="0" fontId="5" fillId="0" borderId="17" xfId="0" applyFont="1" applyBorder="1" applyAlignment="1">
      <alignment vertical="center"/>
    </xf>
    <xf numFmtId="0" fontId="5" fillId="0" borderId="14" xfId="0" applyFont="1" applyBorder="1" applyAlignment="1">
      <alignment vertical="center" wrapText="1"/>
    </xf>
    <xf numFmtId="0" fontId="5" fillId="0" borderId="17" xfId="0" applyFont="1" applyBorder="1" applyAlignment="1">
      <alignment vertical="center" wrapText="1"/>
    </xf>
    <xf numFmtId="0" fontId="0" fillId="0" borderId="23" xfId="0" applyBorder="1" applyAlignment="1">
      <alignment horizontal="center" vertical="center" wrapText="1"/>
    </xf>
    <xf numFmtId="0" fontId="0" fillId="0" borderId="2" xfId="0" applyBorder="1" applyAlignment="1">
      <alignment horizontal="center" vertical="center"/>
    </xf>
    <xf numFmtId="0" fontId="0" fillId="0" borderId="2" xfId="0" applyBorder="1" applyAlignment="1">
      <alignment horizontal="center" vertical="center" wrapText="1"/>
    </xf>
    <xf numFmtId="0" fontId="0" fillId="0" borderId="19" xfId="0" applyBorder="1" applyAlignment="1">
      <alignment horizontal="center" vertical="center"/>
    </xf>
    <xf numFmtId="0" fontId="10" fillId="0" borderId="20" xfId="0" applyFont="1" applyBorder="1"/>
    <xf numFmtId="0" fontId="10" fillId="0" borderId="18" xfId="0" applyFont="1" applyBorder="1"/>
    <xf numFmtId="0" fontId="15" fillId="0" borderId="20" xfId="0" applyFont="1" applyBorder="1" applyAlignment="1">
      <alignment vertical="center"/>
    </xf>
    <xf numFmtId="0" fontId="5" fillId="0" borderId="2" xfId="0" applyFont="1" applyBorder="1" applyAlignment="1">
      <alignment vertical="center" wrapText="1"/>
    </xf>
    <xf numFmtId="0" fontId="38" fillId="0" borderId="0" xfId="0" applyFont="1" applyAlignment="1">
      <alignment vertical="center" wrapText="1"/>
    </xf>
    <xf numFmtId="0" fontId="43" fillId="0" borderId="0" xfId="0" applyFont="1" applyAlignment="1">
      <alignment vertical="center"/>
    </xf>
    <xf numFmtId="14" fontId="0" fillId="0" borderId="2" xfId="0" applyNumberFormat="1" applyBorder="1" applyAlignment="1">
      <alignment horizontal="center" vertical="center" wrapText="1"/>
    </xf>
    <xf numFmtId="0" fontId="12" fillId="0" borderId="5" xfId="0" applyFont="1" applyBorder="1" applyAlignment="1">
      <alignment vertical="center"/>
    </xf>
    <xf numFmtId="0" fontId="12" fillId="0" borderId="3" xfId="0" applyFont="1" applyBorder="1" applyAlignment="1">
      <alignment vertical="center"/>
    </xf>
    <xf numFmtId="0" fontId="12" fillId="0" borderId="2" xfId="0" applyFont="1" applyBorder="1" applyAlignment="1">
      <alignment vertical="center"/>
    </xf>
    <xf numFmtId="0" fontId="12" fillId="0" borderId="2" xfId="0" applyFont="1" applyBorder="1"/>
    <xf numFmtId="0" fontId="12" fillId="0" borderId="4" xfId="0" applyFont="1" applyBorder="1" applyAlignment="1">
      <alignment vertical="center" wrapText="1"/>
    </xf>
    <xf numFmtId="0" fontId="12" fillId="0" borderId="1" xfId="0" applyFont="1" applyBorder="1" applyAlignment="1">
      <alignment vertical="center"/>
    </xf>
    <xf numFmtId="0" fontId="12" fillId="0" borderId="1" xfId="0" applyFont="1" applyBorder="1"/>
    <xf numFmtId="0" fontId="18" fillId="0" borderId="1" xfId="0" applyFont="1" applyBorder="1"/>
    <xf numFmtId="0" fontId="45" fillId="0" borderId="0" xfId="0" applyFont="1"/>
    <xf numFmtId="0" fontId="0" fillId="0" borderId="24" xfId="0" applyBorder="1"/>
    <xf numFmtId="0" fontId="10" fillId="0" borderId="24" xfId="0" applyFont="1" applyBorder="1" applyAlignment="1">
      <alignment horizontal="center" vertical="center"/>
    </xf>
    <xf numFmtId="0" fontId="0" fillId="0" borderId="24" xfId="0" applyBorder="1" applyAlignment="1">
      <alignment horizontal="center" vertical="center"/>
    </xf>
    <xf numFmtId="0" fontId="46" fillId="23" borderId="14" xfId="0" applyFont="1" applyFill="1" applyBorder="1"/>
    <xf numFmtId="14" fontId="46" fillId="23" borderId="14" xfId="0" applyNumberFormat="1" applyFont="1" applyFill="1" applyBorder="1"/>
    <xf numFmtId="0" fontId="46" fillId="23" borderId="14" xfId="0" applyFont="1" applyFill="1" applyBorder="1" applyAlignment="1">
      <alignment wrapText="1"/>
    </xf>
    <xf numFmtId="0" fontId="46" fillId="23" borderId="14" xfId="0" applyFont="1" applyFill="1" applyBorder="1" applyAlignment="1">
      <alignment vertical="center"/>
    </xf>
    <xf numFmtId="14" fontId="46" fillId="23" borderId="14" xfId="0" applyNumberFormat="1" applyFont="1" applyFill="1" applyBorder="1" applyAlignment="1">
      <alignment wrapText="1"/>
    </xf>
    <xf numFmtId="0" fontId="10" fillId="0" borderId="0" xfId="0" applyFont="1" applyAlignment="1">
      <alignment wrapText="1"/>
    </xf>
    <xf numFmtId="0" fontId="10" fillId="0" borderId="20" xfId="0" applyFont="1" applyBorder="1" applyAlignment="1">
      <alignment wrapText="1"/>
    </xf>
    <xf numFmtId="14" fontId="47" fillId="24" borderId="14" xfId="0" applyNumberFormat="1" applyFont="1" applyFill="1" applyBorder="1"/>
    <xf numFmtId="0" fontId="47" fillId="24" borderId="14" xfId="0" applyFont="1" applyFill="1" applyBorder="1"/>
    <xf numFmtId="0" fontId="47" fillId="24" borderId="14" xfId="0" applyFont="1" applyFill="1" applyBorder="1" applyAlignment="1">
      <alignment wrapText="1"/>
    </xf>
    <xf numFmtId="0" fontId="10" fillId="0" borderId="4" xfId="0" applyFont="1" applyBorder="1" applyAlignment="1">
      <alignment vertical="center"/>
    </xf>
    <xf numFmtId="0" fontId="48" fillId="0" borderId="3" xfId="0" applyFont="1" applyBorder="1" applyAlignment="1">
      <alignment vertical="center"/>
    </xf>
    <xf numFmtId="0" fontId="5" fillId="0" borderId="0" xfId="0" applyFont="1" applyAlignment="1">
      <alignment vertical="center" wrapText="1"/>
    </xf>
    <xf numFmtId="14" fontId="0" fillId="0" borderId="2" xfId="0" applyNumberFormat="1" applyBorder="1" applyAlignment="1">
      <alignment horizontal="center" vertical="center"/>
    </xf>
    <xf numFmtId="0" fontId="50" fillId="23" borderId="14" xfId="0" applyFont="1" applyFill="1" applyBorder="1"/>
    <xf numFmtId="0" fontId="51" fillId="23" borderId="14" xfId="0" applyFont="1" applyFill="1" applyBorder="1" applyAlignment="1">
      <alignment vertical="center"/>
    </xf>
    <xf numFmtId="0" fontId="51" fillId="23" borderId="14" xfId="0" applyFont="1" applyFill="1" applyBorder="1"/>
    <xf numFmtId="0" fontId="52" fillId="0" borderId="14" xfId="0" applyFont="1" applyBorder="1" applyAlignment="1">
      <alignment vertical="center"/>
    </xf>
    <xf numFmtId="0" fontId="53" fillId="0" borderId="14" xfId="0" applyFont="1" applyBorder="1" applyAlignment="1">
      <alignment vertical="center"/>
    </xf>
    <xf numFmtId="0" fontId="54" fillId="0" borderId="0" xfId="0" applyFont="1" applyAlignment="1">
      <alignment vertical="center" wrapText="1"/>
    </xf>
    <xf numFmtId="0" fontId="53" fillId="0" borderId="3" xfId="0" applyFont="1" applyBorder="1" applyAlignment="1">
      <alignment vertical="center"/>
    </xf>
    <xf numFmtId="0" fontId="53" fillId="0" borderId="4" xfId="0" applyFont="1" applyBorder="1" applyAlignment="1">
      <alignment vertical="center"/>
    </xf>
    <xf numFmtId="0" fontId="52" fillId="0" borderId="3" xfId="0" applyFont="1" applyBorder="1" applyAlignment="1">
      <alignment vertical="center"/>
    </xf>
    <xf numFmtId="0" fontId="52" fillId="0" borderId="0" xfId="0" applyFont="1" applyAlignment="1">
      <alignment vertical="center"/>
    </xf>
    <xf numFmtId="0" fontId="52" fillId="0" borderId="4" xfId="0" applyFont="1" applyBorder="1" applyAlignment="1">
      <alignment vertical="center"/>
    </xf>
    <xf numFmtId="0" fontId="53" fillId="2" borderId="4" xfId="0" applyFont="1" applyFill="1" applyBorder="1" applyAlignment="1">
      <alignment vertical="center"/>
    </xf>
    <xf numFmtId="0" fontId="50" fillId="0" borderId="15" xfId="0" applyFont="1" applyBorder="1" applyAlignment="1">
      <alignment vertical="center"/>
    </xf>
    <xf numFmtId="0" fontId="53" fillId="0" borderId="5" xfId="0" applyFont="1" applyBorder="1" applyAlignment="1">
      <alignment vertical="center"/>
    </xf>
    <xf numFmtId="0" fontId="50" fillId="0" borderId="2" xfId="0" applyFont="1" applyBorder="1" applyAlignment="1">
      <alignment vertical="center"/>
    </xf>
    <xf numFmtId="14" fontId="53" fillId="0" borderId="3" xfId="0" applyNumberFormat="1" applyFont="1" applyBorder="1" applyAlignment="1">
      <alignment vertical="center"/>
    </xf>
    <xf numFmtId="0" fontId="16" fillId="0" borderId="0" xfId="0" applyFont="1" applyBorder="1" applyAlignment="1">
      <alignment vertical="center"/>
    </xf>
    <xf numFmtId="0" fontId="5" fillId="0" borderId="0" xfId="0" applyFont="1" applyBorder="1" applyAlignment="1">
      <alignment vertical="center"/>
    </xf>
    <xf numFmtId="0" fontId="18" fillId="0" borderId="0" xfId="0" applyFont="1" applyBorder="1" applyAlignment="1">
      <alignment vertical="center"/>
    </xf>
    <xf numFmtId="0" fontId="38" fillId="0" borderId="0" xfId="0" applyFont="1" applyBorder="1" applyAlignment="1">
      <alignment vertical="center"/>
    </xf>
    <xf numFmtId="0" fontId="10" fillId="0" borderId="0" xfId="0" applyFont="1" applyBorder="1"/>
    <xf numFmtId="0" fontId="10" fillId="0" borderId="0" xfId="0" applyFont="1" applyFill="1"/>
    <xf numFmtId="0" fontId="12" fillId="0" borderId="0" xfId="0" applyFont="1" applyFill="1" applyAlignment="1">
      <alignment vertical="center"/>
    </xf>
    <xf numFmtId="0" fontId="12" fillId="0" borderId="0" xfId="0" applyFont="1" applyFill="1"/>
    <xf numFmtId="0" fontId="71" fillId="23" borderId="14" xfId="0" applyFont="1" applyFill="1" applyBorder="1"/>
    <xf numFmtId="0" fontId="72" fillId="0" borderId="0" xfId="764"/>
    <xf numFmtId="0" fontId="15" fillId="0" borderId="0" xfId="0" applyFont="1" applyAlignment="1">
      <alignment vertical="center"/>
    </xf>
    <xf numFmtId="0" fontId="15" fillId="0" borderId="0" xfId="0" applyFont="1" applyAlignment="1">
      <alignment vertical="center"/>
    </xf>
    <xf numFmtId="0" fontId="15" fillId="0" borderId="0" xfId="0" applyFont="1" applyAlignment="1">
      <alignment vertical="center"/>
    </xf>
    <xf numFmtId="0" fontId="0" fillId="0" borderId="0" xfId="0" applyFill="1"/>
    <xf numFmtId="0" fontId="10" fillId="0" borderId="3" xfId="0" applyFont="1" applyBorder="1" applyAlignment="1">
      <alignment vertical="center"/>
    </xf>
    <xf numFmtId="0" fontId="10" fillId="0" borderId="0" xfId="0" applyFont="1" applyAlignment="1">
      <alignment vertical="center"/>
    </xf>
    <xf numFmtId="0" fontId="10" fillId="0" borderId="24" xfId="0" applyFont="1" applyBorder="1"/>
    <xf numFmtId="0" fontId="73" fillId="0" borderId="4" xfId="773" applyFont="1" applyBorder="1">
      <alignment vertical="center"/>
    </xf>
    <xf numFmtId="0" fontId="74" fillId="0" borderId="0" xfId="764" applyFont="1"/>
    <xf numFmtId="0" fontId="10" fillId="0" borderId="24" xfId="0" applyFont="1" applyBorder="1" applyAlignment="1">
      <alignment horizontal="center" vertical="center" wrapText="1"/>
    </xf>
    <xf numFmtId="0" fontId="75" fillId="0" borderId="0" xfId="0" applyFont="1" applyBorder="1" applyAlignment="1">
      <alignment vertical="center"/>
    </xf>
    <xf numFmtId="0" fontId="75" fillId="0" borderId="0" xfId="0" applyFont="1" applyBorder="1" applyAlignment="1">
      <alignment vertical="center" wrapText="1"/>
    </xf>
    <xf numFmtId="0" fontId="0" fillId="0" borderId="23" xfId="0" applyBorder="1"/>
    <xf numFmtId="0" fontId="0" fillId="0" borderId="2" xfId="0" applyBorder="1"/>
    <xf numFmtId="0" fontId="14" fillId="0" borderId="19" xfId="0" applyFont="1" applyBorder="1"/>
    <xf numFmtId="0" fontId="0" fillId="0" borderId="20" xfId="0" applyBorder="1"/>
    <xf numFmtId="0" fontId="0" fillId="0" borderId="0" xfId="0" applyBorder="1"/>
    <xf numFmtId="0" fontId="14" fillId="0" borderId="18" xfId="0" applyFont="1" applyBorder="1"/>
    <xf numFmtId="0" fontId="0" fillId="0" borderId="18" xfId="0" applyBorder="1"/>
    <xf numFmtId="0" fontId="14" fillId="0" borderId="20" xfId="0" applyFont="1" applyBorder="1"/>
    <xf numFmtId="0" fontId="14" fillId="0" borderId="0" xfId="0" applyFont="1" applyBorder="1"/>
    <xf numFmtId="0" fontId="14" fillId="0" borderId="21" xfId="0" applyFont="1" applyBorder="1"/>
    <xf numFmtId="0" fontId="0" fillId="0" borderId="1" xfId="0" applyBorder="1"/>
    <xf numFmtId="0" fontId="14" fillId="0" borderId="1" xfId="0" applyFont="1" applyBorder="1"/>
    <xf numFmtId="0" fontId="14" fillId="0" borderId="22" xfId="0" applyFont="1" applyBorder="1"/>
    <xf numFmtId="0" fontId="0" fillId="0" borderId="19" xfId="0" applyBorder="1"/>
    <xf numFmtId="0" fontId="16" fillId="0" borderId="0" xfId="0" applyFont="1" applyBorder="1" applyAlignment="1">
      <alignment vertical="center" wrapText="1"/>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0" fillId="0" borderId="2" xfId="0" applyBorder="1" applyAlignment="1">
      <alignment horizontal="center" vertical="center" textRotation="90" wrapText="1"/>
    </xf>
    <xf numFmtId="0" fontId="0" fillId="0" borderId="0" xfId="0" applyAlignment="1">
      <alignment textRotation="90"/>
    </xf>
    <xf numFmtId="0" fontId="0" fillId="0" borderId="1" xfId="0" applyBorder="1" applyAlignment="1">
      <alignment textRotation="90"/>
    </xf>
    <xf numFmtId="0" fontId="39" fillId="0" borderId="19" xfId="0" applyFont="1" applyBorder="1" applyAlignment="1">
      <alignment horizontal="center" vertical="center"/>
    </xf>
    <xf numFmtId="0" fontId="39" fillId="0" borderId="18" xfId="0" applyFont="1" applyBorder="1" applyAlignment="1">
      <alignment horizontal="center" vertical="center"/>
    </xf>
    <xf numFmtId="0" fontId="39" fillId="0" borderId="22" xfId="0" applyFont="1" applyBorder="1" applyAlignment="1">
      <alignment horizontal="center" vertical="center"/>
    </xf>
    <xf numFmtId="0" fontId="39" fillId="0" borderId="19" xfId="0" applyFont="1" applyBorder="1" applyAlignment="1">
      <alignment horizontal="center" vertical="center" wrapText="1"/>
    </xf>
    <xf numFmtId="0" fontId="16" fillId="0" borderId="18" xfId="0" applyFont="1" applyBorder="1" applyAlignment="1">
      <alignment horizontal="center" vertical="center" wrapText="1"/>
    </xf>
    <xf numFmtId="0" fontId="16" fillId="0" borderId="18" xfId="0" applyFont="1" applyBorder="1" applyAlignment="1">
      <alignment horizontal="center" vertical="center"/>
    </xf>
    <xf numFmtId="0" fontId="0" fillId="0" borderId="17" xfId="0" applyBorder="1" applyAlignment="1">
      <alignment horizontal="center" vertical="center"/>
    </xf>
    <xf numFmtId="0" fontId="0" fillId="0" borderId="4" xfId="0" applyBorder="1" applyAlignment="1">
      <alignment horizontal="center" vertical="center"/>
    </xf>
    <xf numFmtId="0" fontId="38" fillId="0" borderId="3" xfId="0" applyFont="1" applyBorder="1" applyAlignment="1">
      <alignment horizontal="center" vertical="center" wrapText="1"/>
    </xf>
    <xf numFmtId="0" fontId="38" fillId="0" borderId="4" xfId="0" applyFont="1" applyBorder="1" applyAlignment="1">
      <alignment horizontal="center" vertical="center"/>
    </xf>
    <xf numFmtId="0" fontId="38" fillId="0" borderId="5" xfId="0" applyFont="1" applyBorder="1" applyAlignment="1">
      <alignment horizontal="center" vertical="center"/>
    </xf>
    <xf numFmtId="0" fontId="38" fillId="0" borderId="23" xfId="0" applyFont="1" applyBorder="1" applyAlignment="1">
      <alignment horizontal="center" vertical="center" wrapText="1"/>
    </xf>
    <xf numFmtId="0" fontId="38" fillId="0" borderId="20" xfId="0" applyFont="1" applyBorder="1" applyAlignment="1">
      <alignment horizontal="center" vertical="center"/>
    </xf>
    <xf numFmtId="0" fontId="38" fillId="0" borderId="21" xfId="0" applyFont="1" applyBorder="1" applyAlignment="1">
      <alignment horizontal="center" vertical="center"/>
    </xf>
    <xf numFmtId="0" fontId="39" fillId="0" borderId="4" xfId="0" applyFont="1" applyBorder="1" applyAlignment="1">
      <alignment horizontal="center" vertical="center" wrapText="1"/>
    </xf>
    <xf numFmtId="0" fontId="39" fillId="0" borderId="4" xfId="0" applyFont="1" applyBorder="1" applyAlignment="1">
      <alignment horizontal="center" vertical="center"/>
    </xf>
    <xf numFmtId="0" fontId="0" fillId="0" borderId="4" xfId="0" applyBorder="1" applyAlignment="1">
      <alignment horizontal="center" vertical="center" wrapText="1"/>
    </xf>
    <xf numFmtId="0" fontId="5" fillId="0" borderId="0" xfId="0" applyFont="1" applyAlignment="1">
      <alignment horizontal="center" vertical="center" wrapText="1"/>
    </xf>
    <xf numFmtId="0" fontId="5" fillId="0" borderId="0" xfId="0" applyFont="1" applyAlignment="1">
      <alignment horizontal="center" vertical="center"/>
    </xf>
    <xf numFmtId="0" fontId="39" fillId="0" borderId="5" xfId="0" applyFont="1" applyBorder="1" applyAlignment="1">
      <alignment horizontal="center" vertical="center" wrapText="1"/>
    </xf>
    <xf numFmtId="0" fontId="16" fillId="0" borderId="0" xfId="0" applyFont="1" applyAlignment="1">
      <alignment horizontal="center" vertical="center"/>
    </xf>
    <xf numFmtId="0" fontId="16" fillId="0" borderId="1" xfId="0" applyFont="1" applyBorder="1" applyAlignment="1">
      <alignment horizontal="center" vertical="center"/>
    </xf>
    <xf numFmtId="0" fontId="0" fillId="0" borderId="19" xfId="0" applyBorder="1" applyAlignment="1">
      <alignment horizontal="center" vertical="center" wrapText="1"/>
    </xf>
    <xf numFmtId="0" fontId="0" fillId="0" borderId="18" xfId="0" applyBorder="1" applyAlignment="1">
      <alignment horizontal="center" vertical="center"/>
    </xf>
  </cellXfs>
  <cellStyles count="774">
    <cellStyle name="20% - アクセント 1 10" xfId="60" xr:uid="{00000000-0005-0000-0000-000000000000}"/>
    <cellStyle name="20% - アクセント 1 11" xfId="61" xr:uid="{00000000-0005-0000-0000-000001000000}"/>
    <cellStyle name="20% - アクセント 1 12" xfId="62" xr:uid="{00000000-0005-0000-0000-000002000000}"/>
    <cellStyle name="20% - アクセント 1 13" xfId="63" xr:uid="{00000000-0005-0000-0000-000003000000}"/>
    <cellStyle name="20% - アクセント 1 14" xfId="64" xr:uid="{00000000-0005-0000-0000-000004000000}"/>
    <cellStyle name="20% - アクセント 1 15" xfId="65" xr:uid="{00000000-0005-0000-0000-000005000000}"/>
    <cellStyle name="20% - アクセント 1 16" xfId="66" xr:uid="{00000000-0005-0000-0000-000006000000}"/>
    <cellStyle name="20% - アクセント 1 17" xfId="67" xr:uid="{00000000-0005-0000-0000-000007000000}"/>
    <cellStyle name="20% - アクセント 1 18" xfId="68" xr:uid="{00000000-0005-0000-0000-000008000000}"/>
    <cellStyle name="20% - アクセント 1 19" xfId="69" xr:uid="{00000000-0005-0000-0000-000009000000}"/>
    <cellStyle name="20% - アクセント 1 2" xfId="3" xr:uid="{00000000-0005-0000-0000-00000A000000}"/>
    <cellStyle name="20% - アクセント 1 2 2" xfId="70" xr:uid="{00000000-0005-0000-0000-00000B000000}"/>
    <cellStyle name="20% - アクセント 1 20" xfId="71" xr:uid="{00000000-0005-0000-0000-00000C000000}"/>
    <cellStyle name="20% - アクセント 1 21" xfId="72" xr:uid="{00000000-0005-0000-0000-00000D000000}"/>
    <cellStyle name="20% - アクセント 1 22" xfId="73" xr:uid="{00000000-0005-0000-0000-00000E000000}"/>
    <cellStyle name="20% - アクセント 1 23" xfId="74" xr:uid="{00000000-0005-0000-0000-00000F000000}"/>
    <cellStyle name="20% - アクセント 1 24" xfId="75" xr:uid="{00000000-0005-0000-0000-000010000000}"/>
    <cellStyle name="20% - アクセント 1 25" xfId="76" xr:uid="{00000000-0005-0000-0000-000011000000}"/>
    <cellStyle name="20% - アクセント 1 26" xfId="77" xr:uid="{00000000-0005-0000-0000-000012000000}"/>
    <cellStyle name="20% - アクセント 1 27" xfId="78" xr:uid="{00000000-0005-0000-0000-000013000000}"/>
    <cellStyle name="20% - アクセント 1 28" xfId="79" xr:uid="{00000000-0005-0000-0000-000014000000}"/>
    <cellStyle name="20% - アクセント 1 29" xfId="80" xr:uid="{00000000-0005-0000-0000-000015000000}"/>
    <cellStyle name="20% - アクセント 1 3" xfId="81" xr:uid="{00000000-0005-0000-0000-000016000000}"/>
    <cellStyle name="20% - アクセント 1 30" xfId="82" xr:uid="{00000000-0005-0000-0000-000017000000}"/>
    <cellStyle name="20% - アクセント 1 4" xfId="83" xr:uid="{00000000-0005-0000-0000-000018000000}"/>
    <cellStyle name="20% - アクセント 1 5" xfId="84" xr:uid="{00000000-0005-0000-0000-000019000000}"/>
    <cellStyle name="20% - アクセント 1 6" xfId="85" xr:uid="{00000000-0005-0000-0000-00001A000000}"/>
    <cellStyle name="20% - アクセント 1 7" xfId="86" xr:uid="{00000000-0005-0000-0000-00001B000000}"/>
    <cellStyle name="20% - アクセント 1 8" xfId="87" xr:uid="{00000000-0005-0000-0000-00001C000000}"/>
    <cellStyle name="20% - アクセント 1 9" xfId="88" xr:uid="{00000000-0005-0000-0000-00001D000000}"/>
    <cellStyle name="20% - アクセント 2 10" xfId="89" xr:uid="{00000000-0005-0000-0000-00001E000000}"/>
    <cellStyle name="20% - アクセント 2 11" xfId="90" xr:uid="{00000000-0005-0000-0000-00001F000000}"/>
    <cellStyle name="20% - アクセント 2 12" xfId="91" xr:uid="{00000000-0005-0000-0000-000020000000}"/>
    <cellStyle name="20% - アクセント 2 13" xfId="92" xr:uid="{00000000-0005-0000-0000-000021000000}"/>
    <cellStyle name="20% - アクセント 2 14" xfId="93" xr:uid="{00000000-0005-0000-0000-000022000000}"/>
    <cellStyle name="20% - アクセント 2 15" xfId="94" xr:uid="{00000000-0005-0000-0000-000023000000}"/>
    <cellStyle name="20% - アクセント 2 16" xfId="95" xr:uid="{00000000-0005-0000-0000-000024000000}"/>
    <cellStyle name="20% - アクセント 2 17" xfId="96" xr:uid="{00000000-0005-0000-0000-000025000000}"/>
    <cellStyle name="20% - アクセント 2 18" xfId="97" xr:uid="{00000000-0005-0000-0000-000026000000}"/>
    <cellStyle name="20% - アクセント 2 19" xfId="98" xr:uid="{00000000-0005-0000-0000-000027000000}"/>
    <cellStyle name="20% - アクセント 2 2" xfId="4" xr:uid="{00000000-0005-0000-0000-000028000000}"/>
    <cellStyle name="20% - アクセント 2 2 2" xfId="99" xr:uid="{00000000-0005-0000-0000-000029000000}"/>
    <cellStyle name="20% - アクセント 2 20" xfId="100" xr:uid="{00000000-0005-0000-0000-00002A000000}"/>
    <cellStyle name="20% - アクセント 2 21" xfId="101" xr:uid="{00000000-0005-0000-0000-00002B000000}"/>
    <cellStyle name="20% - アクセント 2 22" xfId="102" xr:uid="{00000000-0005-0000-0000-00002C000000}"/>
    <cellStyle name="20% - アクセント 2 23" xfId="103" xr:uid="{00000000-0005-0000-0000-00002D000000}"/>
    <cellStyle name="20% - アクセント 2 24" xfId="104" xr:uid="{00000000-0005-0000-0000-00002E000000}"/>
    <cellStyle name="20% - アクセント 2 25" xfId="105" xr:uid="{00000000-0005-0000-0000-00002F000000}"/>
    <cellStyle name="20% - アクセント 2 26" xfId="106" xr:uid="{00000000-0005-0000-0000-000030000000}"/>
    <cellStyle name="20% - アクセント 2 27" xfId="107" xr:uid="{00000000-0005-0000-0000-000031000000}"/>
    <cellStyle name="20% - アクセント 2 28" xfId="108" xr:uid="{00000000-0005-0000-0000-000032000000}"/>
    <cellStyle name="20% - アクセント 2 29" xfId="109" xr:uid="{00000000-0005-0000-0000-000033000000}"/>
    <cellStyle name="20% - アクセント 2 3" xfId="110" xr:uid="{00000000-0005-0000-0000-000034000000}"/>
    <cellStyle name="20% - アクセント 2 30" xfId="111" xr:uid="{00000000-0005-0000-0000-000035000000}"/>
    <cellStyle name="20% - アクセント 2 4" xfId="112" xr:uid="{00000000-0005-0000-0000-000036000000}"/>
    <cellStyle name="20% - アクセント 2 5" xfId="113" xr:uid="{00000000-0005-0000-0000-000037000000}"/>
    <cellStyle name="20% - アクセント 2 6" xfId="114" xr:uid="{00000000-0005-0000-0000-000038000000}"/>
    <cellStyle name="20% - アクセント 2 7" xfId="115" xr:uid="{00000000-0005-0000-0000-000039000000}"/>
    <cellStyle name="20% - アクセント 2 8" xfId="116" xr:uid="{00000000-0005-0000-0000-00003A000000}"/>
    <cellStyle name="20% - アクセント 2 9" xfId="117" xr:uid="{00000000-0005-0000-0000-00003B000000}"/>
    <cellStyle name="20% - アクセント 3 10" xfId="118" xr:uid="{00000000-0005-0000-0000-00003C000000}"/>
    <cellStyle name="20% - アクセント 3 11" xfId="119" xr:uid="{00000000-0005-0000-0000-00003D000000}"/>
    <cellStyle name="20% - アクセント 3 12" xfId="120" xr:uid="{00000000-0005-0000-0000-00003E000000}"/>
    <cellStyle name="20% - アクセント 3 13" xfId="121" xr:uid="{00000000-0005-0000-0000-00003F000000}"/>
    <cellStyle name="20% - アクセント 3 14" xfId="122" xr:uid="{00000000-0005-0000-0000-000040000000}"/>
    <cellStyle name="20% - アクセント 3 15" xfId="123" xr:uid="{00000000-0005-0000-0000-000041000000}"/>
    <cellStyle name="20% - アクセント 3 16" xfId="124" xr:uid="{00000000-0005-0000-0000-000042000000}"/>
    <cellStyle name="20% - アクセント 3 17" xfId="125" xr:uid="{00000000-0005-0000-0000-000043000000}"/>
    <cellStyle name="20% - アクセント 3 18" xfId="126" xr:uid="{00000000-0005-0000-0000-000044000000}"/>
    <cellStyle name="20% - アクセント 3 19" xfId="127" xr:uid="{00000000-0005-0000-0000-000045000000}"/>
    <cellStyle name="20% - アクセント 3 2" xfId="5" xr:uid="{00000000-0005-0000-0000-000046000000}"/>
    <cellStyle name="20% - アクセント 3 2 2" xfId="128" xr:uid="{00000000-0005-0000-0000-000047000000}"/>
    <cellStyle name="20% - アクセント 3 20" xfId="129" xr:uid="{00000000-0005-0000-0000-000048000000}"/>
    <cellStyle name="20% - アクセント 3 21" xfId="130" xr:uid="{00000000-0005-0000-0000-000049000000}"/>
    <cellStyle name="20% - アクセント 3 22" xfId="131" xr:uid="{00000000-0005-0000-0000-00004A000000}"/>
    <cellStyle name="20% - アクセント 3 23" xfId="132" xr:uid="{00000000-0005-0000-0000-00004B000000}"/>
    <cellStyle name="20% - アクセント 3 24" xfId="133" xr:uid="{00000000-0005-0000-0000-00004C000000}"/>
    <cellStyle name="20% - アクセント 3 25" xfId="134" xr:uid="{00000000-0005-0000-0000-00004D000000}"/>
    <cellStyle name="20% - アクセント 3 26" xfId="135" xr:uid="{00000000-0005-0000-0000-00004E000000}"/>
    <cellStyle name="20% - アクセント 3 27" xfId="136" xr:uid="{00000000-0005-0000-0000-00004F000000}"/>
    <cellStyle name="20% - アクセント 3 28" xfId="137" xr:uid="{00000000-0005-0000-0000-000050000000}"/>
    <cellStyle name="20% - アクセント 3 29" xfId="138" xr:uid="{00000000-0005-0000-0000-000051000000}"/>
    <cellStyle name="20% - アクセント 3 3" xfId="139" xr:uid="{00000000-0005-0000-0000-000052000000}"/>
    <cellStyle name="20% - アクセント 3 30" xfId="140" xr:uid="{00000000-0005-0000-0000-000053000000}"/>
    <cellStyle name="20% - アクセント 3 4" xfId="141" xr:uid="{00000000-0005-0000-0000-000054000000}"/>
    <cellStyle name="20% - アクセント 3 5" xfId="142" xr:uid="{00000000-0005-0000-0000-000055000000}"/>
    <cellStyle name="20% - アクセント 3 6" xfId="143" xr:uid="{00000000-0005-0000-0000-000056000000}"/>
    <cellStyle name="20% - アクセント 3 7" xfId="144" xr:uid="{00000000-0005-0000-0000-000057000000}"/>
    <cellStyle name="20% - アクセント 3 8" xfId="145" xr:uid="{00000000-0005-0000-0000-000058000000}"/>
    <cellStyle name="20% - アクセント 3 9" xfId="146" xr:uid="{00000000-0005-0000-0000-000059000000}"/>
    <cellStyle name="20% - アクセント 4 10" xfId="147" xr:uid="{00000000-0005-0000-0000-00005A000000}"/>
    <cellStyle name="20% - アクセント 4 11" xfId="148" xr:uid="{00000000-0005-0000-0000-00005B000000}"/>
    <cellStyle name="20% - アクセント 4 12" xfId="149" xr:uid="{00000000-0005-0000-0000-00005C000000}"/>
    <cellStyle name="20% - アクセント 4 13" xfId="150" xr:uid="{00000000-0005-0000-0000-00005D000000}"/>
    <cellStyle name="20% - アクセント 4 14" xfId="151" xr:uid="{00000000-0005-0000-0000-00005E000000}"/>
    <cellStyle name="20% - アクセント 4 15" xfId="152" xr:uid="{00000000-0005-0000-0000-00005F000000}"/>
    <cellStyle name="20% - アクセント 4 16" xfId="153" xr:uid="{00000000-0005-0000-0000-000060000000}"/>
    <cellStyle name="20% - アクセント 4 17" xfId="154" xr:uid="{00000000-0005-0000-0000-000061000000}"/>
    <cellStyle name="20% - アクセント 4 18" xfId="155" xr:uid="{00000000-0005-0000-0000-000062000000}"/>
    <cellStyle name="20% - アクセント 4 19" xfId="156" xr:uid="{00000000-0005-0000-0000-000063000000}"/>
    <cellStyle name="20% - アクセント 4 2" xfId="6" xr:uid="{00000000-0005-0000-0000-000064000000}"/>
    <cellStyle name="20% - アクセント 4 2 2" xfId="157" xr:uid="{00000000-0005-0000-0000-000065000000}"/>
    <cellStyle name="20% - アクセント 4 20" xfId="158" xr:uid="{00000000-0005-0000-0000-000066000000}"/>
    <cellStyle name="20% - アクセント 4 21" xfId="159" xr:uid="{00000000-0005-0000-0000-000067000000}"/>
    <cellStyle name="20% - アクセント 4 22" xfId="160" xr:uid="{00000000-0005-0000-0000-000068000000}"/>
    <cellStyle name="20% - アクセント 4 23" xfId="161" xr:uid="{00000000-0005-0000-0000-000069000000}"/>
    <cellStyle name="20% - アクセント 4 24" xfId="162" xr:uid="{00000000-0005-0000-0000-00006A000000}"/>
    <cellStyle name="20% - アクセント 4 25" xfId="163" xr:uid="{00000000-0005-0000-0000-00006B000000}"/>
    <cellStyle name="20% - アクセント 4 26" xfId="164" xr:uid="{00000000-0005-0000-0000-00006C000000}"/>
    <cellStyle name="20% - アクセント 4 27" xfId="165" xr:uid="{00000000-0005-0000-0000-00006D000000}"/>
    <cellStyle name="20% - アクセント 4 28" xfId="166" xr:uid="{00000000-0005-0000-0000-00006E000000}"/>
    <cellStyle name="20% - アクセント 4 29" xfId="167" xr:uid="{00000000-0005-0000-0000-00006F000000}"/>
    <cellStyle name="20% - アクセント 4 3" xfId="168" xr:uid="{00000000-0005-0000-0000-000070000000}"/>
    <cellStyle name="20% - アクセント 4 30" xfId="169" xr:uid="{00000000-0005-0000-0000-000071000000}"/>
    <cellStyle name="20% - アクセント 4 4" xfId="170" xr:uid="{00000000-0005-0000-0000-000072000000}"/>
    <cellStyle name="20% - アクセント 4 5" xfId="171" xr:uid="{00000000-0005-0000-0000-000073000000}"/>
    <cellStyle name="20% - アクセント 4 6" xfId="172" xr:uid="{00000000-0005-0000-0000-000074000000}"/>
    <cellStyle name="20% - アクセント 4 7" xfId="173" xr:uid="{00000000-0005-0000-0000-000075000000}"/>
    <cellStyle name="20% - アクセント 4 8" xfId="174" xr:uid="{00000000-0005-0000-0000-000076000000}"/>
    <cellStyle name="20% - アクセント 4 9" xfId="175" xr:uid="{00000000-0005-0000-0000-000077000000}"/>
    <cellStyle name="20% - アクセント 5 2" xfId="7" xr:uid="{00000000-0005-0000-0000-000078000000}"/>
    <cellStyle name="20% - アクセント 6 2" xfId="8" xr:uid="{00000000-0005-0000-0000-000079000000}"/>
    <cellStyle name="40% - アクセント 1 10" xfId="176" xr:uid="{00000000-0005-0000-0000-00007A000000}"/>
    <cellStyle name="40% - アクセント 1 11" xfId="177" xr:uid="{00000000-0005-0000-0000-00007B000000}"/>
    <cellStyle name="40% - アクセント 1 12" xfId="178" xr:uid="{00000000-0005-0000-0000-00007C000000}"/>
    <cellStyle name="40% - アクセント 1 13" xfId="179" xr:uid="{00000000-0005-0000-0000-00007D000000}"/>
    <cellStyle name="40% - アクセント 1 14" xfId="180" xr:uid="{00000000-0005-0000-0000-00007E000000}"/>
    <cellStyle name="40% - アクセント 1 15" xfId="181" xr:uid="{00000000-0005-0000-0000-00007F000000}"/>
    <cellStyle name="40% - アクセント 1 16" xfId="182" xr:uid="{00000000-0005-0000-0000-000080000000}"/>
    <cellStyle name="40% - アクセント 1 17" xfId="183" xr:uid="{00000000-0005-0000-0000-000081000000}"/>
    <cellStyle name="40% - アクセント 1 18" xfId="184" xr:uid="{00000000-0005-0000-0000-000082000000}"/>
    <cellStyle name="40% - アクセント 1 19" xfId="185" xr:uid="{00000000-0005-0000-0000-000083000000}"/>
    <cellStyle name="40% - アクセント 1 2" xfId="9" xr:uid="{00000000-0005-0000-0000-000084000000}"/>
    <cellStyle name="40% - アクセント 1 2 2" xfId="186" xr:uid="{00000000-0005-0000-0000-000085000000}"/>
    <cellStyle name="40% - アクセント 1 20" xfId="187" xr:uid="{00000000-0005-0000-0000-000086000000}"/>
    <cellStyle name="40% - アクセント 1 21" xfId="188" xr:uid="{00000000-0005-0000-0000-000087000000}"/>
    <cellStyle name="40% - アクセント 1 22" xfId="189" xr:uid="{00000000-0005-0000-0000-000088000000}"/>
    <cellStyle name="40% - アクセント 1 23" xfId="190" xr:uid="{00000000-0005-0000-0000-000089000000}"/>
    <cellStyle name="40% - アクセント 1 24" xfId="191" xr:uid="{00000000-0005-0000-0000-00008A000000}"/>
    <cellStyle name="40% - アクセント 1 25" xfId="192" xr:uid="{00000000-0005-0000-0000-00008B000000}"/>
    <cellStyle name="40% - アクセント 1 26" xfId="193" xr:uid="{00000000-0005-0000-0000-00008C000000}"/>
    <cellStyle name="40% - アクセント 1 27" xfId="194" xr:uid="{00000000-0005-0000-0000-00008D000000}"/>
    <cellStyle name="40% - アクセント 1 28" xfId="195" xr:uid="{00000000-0005-0000-0000-00008E000000}"/>
    <cellStyle name="40% - アクセント 1 29" xfId="196" xr:uid="{00000000-0005-0000-0000-00008F000000}"/>
    <cellStyle name="40% - アクセント 1 3" xfId="197" xr:uid="{00000000-0005-0000-0000-000090000000}"/>
    <cellStyle name="40% - アクセント 1 30" xfId="198" xr:uid="{00000000-0005-0000-0000-000091000000}"/>
    <cellStyle name="40% - アクセント 1 4" xfId="199" xr:uid="{00000000-0005-0000-0000-000092000000}"/>
    <cellStyle name="40% - アクセント 1 5" xfId="200" xr:uid="{00000000-0005-0000-0000-000093000000}"/>
    <cellStyle name="40% - アクセント 1 6" xfId="201" xr:uid="{00000000-0005-0000-0000-000094000000}"/>
    <cellStyle name="40% - アクセント 1 7" xfId="202" xr:uid="{00000000-0005-0000-0000-000095000000}"/>
    <cellStyle name="40% - アクセント 1 8" xfId="203" xr:uid="{00000000-0005-0000-0000-000096000000}"/>
    <cellStyle name="40% - アクセント 1 9" xfId="204" xr:uid="{00000000-0005-0000-0000-000097000000}"/>
    <cellStyle name="40% - アクセント 2 2" xfId="10" xr:uid="{00000000-0005-0000-0000-000098000000}"/>
    <cellStyle name="40% - アクセント 3 10" xfId="205" xr:uid="{00000000-0005-0000-0000-000099000000}"/>
    <cellStyle name="40% - アクセント 3 11" xfId="206" xr:uid="{00000000-0005-0000-0000-00009A000000}"/>
    <cellStyle name="40% - アクセント 3 12" xfId="207" xr:uid="{00000000-0005-0000-0000-00009B000000}"/>
    <cellStyle name="40% - アクセント 3 13" xfId="208" xr:uid="{00000000-0005-0000-0000-00009C000000}"/>
    <cellStyle name="40% - アクセント 3 14" xfId="209" xr:uid="{00000000-0005-0000-0000-00009D000000}"/>
    <cellStyle name="40% - アクセント 3 15" xfId="210" xr:uid="{00000000-0005-0000-0000-00009E000000}"/>
    <cellStyle name="40% - アクセント 3 16" xfId="211" xr:uid="{00000000-0005-0000-0000-00009F000000}"/>
    <cellStyle name="40% - アクセント 3 17" xfId="212" xr:uid="{00000000-0005-0000-0000-0000A0000000}"/>
    <cellStyle name="40% - アクセント 3 18" xfId="213" xr:uid="{00000000-0005-0000-0000-0000A1000000}"/>
    <cellStyle name="40% - アクセント 3 19" xfId="214" xr:uid="{00000000-0005-0000-0000-0000A2000000}"/>
    <cellStyle name="40% - アクセント 3 2" xfId="11" xr:uid="{00000000-0005-0000-0000-0000A3000000}"/>
    <cellStyle name="40% - アクセント 3 2 2" xfId="215" xr:uid="{00000000-0005-0000-0000-0000A4000000}"/>
    <cellStyle name="40% - アクセント 3 20" xfId="216" xr:uid="{00000000-0005-0000-0000-0000A5000000}"/>
    <cellStyle name="40% - アクセント 3 21" xfId="217" xr:uid="{00000000-0005-0000-0000-0000A6000000}"/>
    <cellStyle name="40% - アクセント 3 22" xfId="218" xr:uid="{00000000-0005-0000-0000-0000A7000000}"/>
    <cellStyle name="40% - アクセント 3 23" xfId="219" xr:uid="{00000000-0005-0000-0000-0000A8000000}"/>
    <cellStyle name="40% - アクセント 3 24" xfId="220" xr:uid="{00000000-0005-0000-0000-0000A9000000}"/>
    <cellStyle name="40% - アクセント 3 25" xfId="221" xr:uid="{00000000-0005-0000-0000-0000AA000000}"/>
    <cellStyle name="40% - アクセント 3 26" xfId="222" xr:uid="{00000000-0005-0000-0000-0000AB000000}"/>
    <cellStyle name="40% - アクセント 3 27" xfId="223" xr:uid="{00000000-0005-0000-0000-0000AC000000}"/>
    <cellStyle name="40% - アクセント 3 28" xfId="224" xr:uid="{00000000-0005-0000-0000-0000AD000000}"/>
    <cellStyle name="40% - アクセント 3 29" xfId="225" xr:uid="{00000000-0005-0000-0000-0000AE000000}"/>
    <cellStyle name="40% - アクセント 3 3" xfId="226" xr:uid="{00000000-0005-0000-0000-0000AF000000}"/>
    <cellStyle name="40% - アクセント 3 30" xfId="227" xr:uid="{00000000-0005-0000-0000-0000B0000000}"/>
    <cellStyle name="40% - アクセント 3 4" xfId="228" xr:uid="{00000000-0005-0000-0000-0000B1000000}"/>
    <cellStyle name="40% - アクセント 3 5" xfId="229" xr:uid="{00000000-0005-0000-0000-0000B2000000}"/>
    <cellStyle name="40% - アクセント 3 6" xfId="230" xr:uid="{00000000-0005-0000-0000-0000B3000000}"/>
    <cellStyle name="40% - アクセント 3 7" xfId="231" xr:uid="{00000000-0005-0000-0000-0000B4000000}"/>
    <cellStyle name="40% - アクセント 3 8" xfId="232" xr:uid="{00000000-0005-0000-0000-0000B5000000}"/>
    <cellStyle name="40% - アクセント 3 9" xfId="233" xr:uid="{00000000-0005-0000-0000-0000B6000000}"/>
    <cellStyle name="40% - アクセント 4 10" xfId="234" xr:uid="{00000000-0005-0000-0000-0000B7000000}"/>
    <cellStyle name="40% - アクセント 4 11" xfId="235" xr:uid="{00000000-0005-0000-0000-0000B8000000}"/>
    <cellStyle name="40% - アクセント 4 12" xfId="236" xr:uid="{00000000-0005-0000-0000-0000B9000000}"/>
    <cellStyle name="40% - アクセント 4 13" xfId="237" xr:uid="{00000000-0005-0000-0000-0000BA000000}"/>
    <cellStyle name="40% - アクセント 4 14" xfId="238" xr:uid="{00000000-0005-0000-0000-0000BB000000}"/>
    <cellStyle name="40% - アクセント 4 15" xfId="239" xr:uid="{00000000-0005-0000-0000-0000BC000000}"/>
    <cellStyle name="40% - アクセント 4 16" xfId="240" xr:uid="{00000000-0005-0000-0000-0000BD000000}"/>
    <cellStyle name="40% - アクセント 4 17" xfId="241" xr:uid="{00000000-0005-0000-0000-0000BE000000}"/>
    <cellStyle name="40% - アクセント 4 18" xfId="242" xr:uid="{00000000-0005-0000-0000-0000BF000000}"/>
    <cellStyle name="40% - アクセント 4 19" xfId="243" xr:uid="{00000000-0005-0000-0000-0000C0000000}"/>
    <cellStyle name="40% - アクセント 4 2" xfId="12" xr:uid="{00000000-0005-0000-0000-0000C1000000}"/>
    <cellStyle name="40% - アクセント 4 2 2" xfId="244" xr:uid="{00000000-0005-0000-0000-0000C2000000}"/>
    <cellStyle name="40% - アクセント 4 20" xfId="245" xr:uid="{00000000-0005-0000-0000-0000C3000000}"/>
    <cellStyle name="40% - アクセント 4 21" xfId="246" xr:uid="{00000000-0005-0000-0000-0000C4000000}"/>
    <cellStyle name="40% - アクセント 4 22" xfId="247" xr:uid="{00000000-0005-0000-0000-0000C5000000}"/>
    <cellStyle name="40% - アクセント 4 23" xfId="248" xr:uid="{00000000-0005-0000-0000-0000C6000000}"/>
    <cellStyle name="40% - アクセント 4 24" xfId="249" xr:uid="{00000000-0005-0000-0000-0000C7000000}"/>
    <cellStyle name="40% - アクセント 4 25" xfId="250" xr:uid="{00000000-0005-0000-0000-0000C8000000}"/>
    <cellStyle name="40% - アクセント 4 26" xfId="251" xr:uid="{00000000-0005-0000-0000-0000C9000000}"/>
    <cellStyle name="40% - アクセント 4 27" xfId="252" xr:uid="{00000000-0005-0000-0000-0000CA000000}"/>
    <cellStyle name="40% - アクセント 4 28" xfId="253" xr:uid="{00000000-0005-0000-0000-0000CB000000}"/>
    <cellStyle name="40% - アクセント 4 29" xfId="254" xr:uid="{00000000-0005-0000-0000-0000CC000000}"/>
    <cellStyle name="40% - アクセント 4 3" xfId="255" xr:uid="{00000000-0005-0000-0000-0000CD000000}"/>
    <cellStyle name="40% - アクセント 4 30" xfId="256" xr:uid="{00000000-0005-0000-0000-0000CE000000}"/>
    <cellStyle name="40% - アクセント 4 4" xfId="257" xr:uid="{00000000-0005-0000-0000-0000CF000000}"/>
    <cellStyle name="40% - アクセント 4 5" xfId="258" xr:uid="{00000000-0005-0000-0000-0000D0000000}"/>
    <cellStyle name="40% - アクセント 4 6" xfId="259" xr:uid="{00000000-0005-0000-0000-0000D1000000}"/>
    <cellStyle name="40% - アクセント 4 7" xfId="260" xr:uid="{00000000-0005-0000-0000-0000D2000000}"/>
    <cellStyle name="40% - アクセント 4 8" xfId="261" xr:uid="{00000000-0005-0000-0000-0000D3000000}"/>
    <cellStyle name="40% - アクセント 4 9" xfId="262" xr:uid="{00000000-0005-0000-0000-0000D4000000}"/>
    <cellStyle name="40% - アクセント 5 2" xfId="13" xr:uid="{00000000-0005-0000-0000-0000D5000000}"/>
    <cellStyle name="40% - アクセント 6 10" xfId="263" xr:uid="{00000000-0005-0000-0000-0000D6000000}"/>
    <cellStyle name="40% - アクセント 6 11" xfId="264" xr:uid="{00000000-0005-0000-0000-0000D7000000}"/>
    <cellStyle name="40% - アクセント 6 12" xfId="265" xr:uid="{00000000-0005-0000-0000-0000D8000000}"/>
    <cellStyle name="40% - アクセント 6 13" xfId="266" xr:uid="{00000000-0005-0000-0000-0000D9000000}"/>
    <cellStyle name="40% - アクセント 6 14" xfId="267" xr:uid="{00000000-0005-0000-0000-0000DA000000}"/>
    <cellStyle name="40% - アクセント 6 15" xfId="268" xr:uid="{00000000-0005-0000-0000-0000DB000000}"/>
    <cellStyle name="40% - アクセント 6 16" xfId="269" xr:uid="{00000000-0005-0000-0000-0000DC000000}"/>
    <cellStyle name="40% - アクセント 6 17" xfId="270" xr:uid="{00000000-0005-0000-0000-0000DD000000}"/>
    <cellStyle name="40% - アクセント 6 18" xfId="271" xr:uid="{00000000-0005-0000-0000-0000DE000000}"/>
    <cellStyle name="40% - アクセント 6 19" xfId="272" xr:uid="{00000000-0005-0000-0000-0000DF000000}"/>
    <cellStyle name="40% - アクセント 6 2" xfId="14" xr:uid="{00000000-0005-0000-0000-0000E0000000}"/>
    <cellStyle name="40% - アクセント 6 2 2" xfId="273" xr:uid="{00000000-0005-0000-0000-0000E1000000}"/>
    <cellStyle name="40% - アクセント 6 20" xfId="274" xr:uid="{00000000-0005-0000-0000-0000E2000000}"/>
    <cellStyle name="40% - アクセント 6 21" xfId="275" xr:uid="{00000000-0005-0000-0000-0000E3000000}"/>
    <cellStyle name="40% - アクセント 6 22" xfId="276" xr:uid="{00000000-0005-0000-0000-0000E4000000}"/>
    <cellStyle name="40% - アクセント 6 23" xfId="277" xr:uid="{00000000-0005-0000-0000-0000E5000000}"/>
    <cellStyle name="40% - アクセント 6 24" xfId="278" xr:uid="{00000000-0005-0000-0000-0000E6000000}"/>
    <cellStyle name="40% - アクセント 6 25" xfId="279" xr:uid="{00000000-0005-0000-0000-0000E7000000}"/>
    <cellStyle name="40% - アクセント 6 26" xfId="280" xr:uid="{00000000-0005-0000-0000-0000E8000000}"/>
    <cellStyle name="40% - アクセント 6 27" xfId="281" xr:uid="{00000000-0005-0000-0000-0000E9000000}"/>
    <cellStyle name="40% - アクセント 6 28" xfId="282" xr:uid="{00000000-0005-0000-0000-0000EA000000}"/>
    <cellStyle name="40% - アクセント 6 29" xfId="283" xr:uid="{00000000-0005-0000-0000-0000EB000000}"/>
    <cellStyle name="40% - アクセント 6 3" xfId="284" xr:uid="{00000000-0005-0000-0000-0000EC000000}"/>
    <cellStyle name="40% - アクセント 6 30" xfId="285" xr:uid="{00000000-0005-0000-0000-0000ED000000}"/>
    <cellStyle name="40% - アクセント 6 4" xfId="286" xr:uid="{00000000-0005-0000-0000-0000EE000000}"/>
    <cellStyle name="40% - アクセント 6 5" xfId="287" xr:uid="{00000000-0005-0000-0000-0000EF000000}"/>
    <cellStyle name="40% - アクセント 6 6" xfId="288" xr:uid="{00000000-0005-0000-0000-0000F0000000}"/>
    <cellStyle name="40% - アクセント 6 7" xfId="289" xr:uid="{00000000-0005-0000-0000-0000F1000000}"/>
    <cellStyle name="40% - アクセント 6 8" xfId="290" xr:uid="{00000000-0005-0000-0000-0000F2000000}"/>
    <cellStyle name="40% - アクセント 6 9" xfId="291" xr:uid="{00000000-0005-0000-0000-0000F3000000}"/>
    <cellStyle name="60% - アクセント 1 10" xfId="292" xr:uid="{00000000-0005-0000-0000-0000F4000000}"/>
    <cellStyle name="60% - アクセント 1 11" xfId="293" xr:uid="{00000000-0005-0000-0000-0000F5000000}"/>
    <cellStyle name="60% - アクセント 1 12" xfId="294" xr:uid="{00000000-0005-0000-0000-0000F6000000}"/>
    <cellStyle name="60% - アクセント 1 13" xfId="295" xr:uid="{00000000-0005-0000-0000-0000F7000000}"/>
    <cellStyle name="60% - アクセント 1 14" xfId="296" xr:uid="{00000000-0005-0000-0000-0000F8000000}"/>
    <cellStyle name="60% - アクセント 1 15" xfId="297" xr:uid="{00000000-0005-0000-0000-0000F9000000}"/>
    <cellStyle name="60% - アクセント 1 16" xfId="298" xr:uid="{00000000-0005-0000-0000-0000FA000000}"/>
    <cellStyle name="60% - アクセント 1 17" xfId="299" xr:uid="{00000000-0005-0000-0000-0000FB000000}"/>
    <cellStyle name="60% - アクセント 1 18" xfId="300" xr:uid="{00000000-0005-0000-0000-0000FC000000}"/>
    <cellStyle name="60% - アクセント 1 19" xfId="301" xr:uid="{00000000-0005-0000-0000-0000FD000000}"/>
    <cellStyle name="60% - アクセント 1 2" xfId="15" xr:uid="{00000000-0005-0000-0000-0000FE000000}"/>
    <cellStyle name="60% - アクセント 1 2 2" xfId="302" xr:uid="{00000000-0005-0000-0000-0000FF000000}"/>
    <cellStyle name="60% - アクセント 1 20" xfId="303" xr:uid="{00000000-0005-0000-0000-000000010000}"/>
    <cellStyle name="60% - アクセント 1 21" xfId="304" xr:uid="{00000000-0005-0000-0000-000001010000}"/>
    <cellStyle name="60% - アクセント 1 22" xfId="305" xr:uid="{00000000-0005-0000-0000-000002010000}"/>
    <cellStyle name="60% - アクセント 1 23" xfId="306" xr:uid="{00000000-0005-0000-0000-000003010000}"/>
    <cellStyle name="60% - アクセント 1 24" xfId="307" xr:uid="{00000000-0005-0000-0000-000004010000}"/>
    <cellStyle name="60% - アクセント 1 25" xfId="308" xr:uid="{00000000-0005-0000-0000-000005010000}"/>
    <cellStyle name="60% - アクセント 1 26" xfId="309" xr:uid="{00000000-0005-0000-0000-000006010000}"/>
    <cellStyle name="60% - アクセント 1 27" xfId="310" xr:uid="{00000000-0005-0000-0000-000007010000}"/>
    <cellStyle name="60% - アクセント 1 28" xfId="311" xr:uid="{00000000-0005-0000-0000-000008010000}"/>
    <cellStyle name="60% - アクセント 1 29" xfId="312" xr:uid="{00000000-0005-0000-0000-000009010000}"/>
    <cellStyle name="60% - アクセント 1 3" xfId="313" xr:uid="{00000000-0005-0000-0000-00000A010000}"/>
    <cellStyle name="60% - アクセント 1 30" xfId="314" xr:uid="{00000000-0005-0000-0000-00000B010000}"/>
    <cellStyle name="60% - アクセント 1 4" xfId="315" xr:uid="{00000000-0005-0000-0000-00000C010000}"/>
    <cellStyle name="60% - アクセント 1 5" xfId="316" xr:uid="{00000000-0005-0000-0000-00000D010000}"/>
    <cellStyle name="60% - アクセント 1 6" xfId="317" xr:uid="{00000000-0005-0000-0000-00000E010000}"/>
    <cellStyle name="60% - アクセント 1 7" xfId="318" xr:uid="{00000000-0005-0000-0000-00000F010000}"/>
    <cellStyle name="60% - アクセント 1 8" xfId="319" xr:uid="{00000000-0005-0000-0000-000010010000}"/>
    <cellStyle name="60% - アクセント 1 9" xfId="320" xr:uid="{00000000-0005-0000-0000-000011010000}"/>
    <cellStyle name="60% - アクセント 2 2" xfId="16" xr:uid="{00000000-0005-0000-0000-000012010000}"/>
    <cellStyle name="60% - アクセント 3 10" xfId="321" xr:uid="{00000000-0005-0000-0000-000013010000}"/>
    <cellStyle name="60% - アクセント 3 11" xfId="322" xr:uid="{00000000-0005-0000-0000-000014010000}"/>
    <cellStyle name="60% - アクセント 3 12" xfId="323" xr:uid="{00000000-0005-0000-0000-000015010000}"/>
    <cellStyle name="60% - アクセント 3 13" xfId="324" xr:uid="{00000000-0005-0000-0000-000016010000}"/>
    <cellStyle name="60% - アクセント 3 14" xfId="325" xr:uid="{00000000-0005-0000-0000-000017010000}"/>
    <cellStyle name="60% - アクセント 3 15" xfId="326" xr:uid="{00000000-0005-0000-0000-000018010000}"/>
    <cellStyle name="60% - アクセント 3 16" xfId="327" xr:uid="{00000000-0005-0000-0000-000019010000}"/>
    <cellStyle name="60% - アクセント 3 17" xfId="328" xr:uid="{00000000-0005-0000-0000-00001A010000}"/>
    <cellStyle name="60% - アクセント 3 18" xfId="329" xr:uid="{00000000-0005-0000-0000-00001B010000}"/>
    <cellStyle name="60% - アクセント 3 19" xfId="330" xr:uid="{00000000-0005-0000-0000-00001C010000}"/>
    <cellStyle name="60% - アクセント 3 2" xfId="17" xr:uid="{00000000-0005-0000-0000-00001D010000}"/>
    <cellStyle name="60% - アクセント 3 2 2" xfId="331" xr:uid="{00000000-0005-0000-0000-00001E010000}"/>
    <cellStyle name="60% - アクセント 3 20" xfId="332" xr:uid="{00000000-0005-0000-0000-00001F010000}"/>
    <cellStyle name="60% - アクセント 3 21" xfId="333" xr:uid="{00000000-0005-0000-0000-000020010000}"/>
    <cellStyle name="60% - アクセント 3 22" xfId="334" xr:uid="{00000000-0005-0000-0000-000021010000}"/>
    <cellStyle name="60% - アクセント 3 23" xfId="335" xr:uid="{00000000-0005-0000-0000-000022010000}"/>
    <cellStyle name="60% - アクセント 3 24" xfId="336" xr:uid="{00000000-0005-0000-0000-000023010000}"/>
    <cellStyle name="60% - アクセント 3 25" xfId="337" xr:uid="{00000000-0005-0000-0000-000024010000}"/>
    <cellStyle name="60% - アクセント 3 26" xfId="338" xr:uid="{00000000-0005-0000-0000-000025010000}"/>
    <cellStyle name="60% - アクセント 3 27" xfId="339" xr:uid="{00000000-0005-0000-0000-000026010000}"/>
    <cellStyle name="60% - アクセント 3 28" xfId="340" xr:uid="{00000000-0005-0000-0000-000027010000}"/>
    <cellStyle name="60% - アクセント 3 29" xfId="341" xr:uid="{00000000-0005-0000-0000-000028010000}"/>
    <cellStyle name="60% - アクセント 3 3" xfId="342" xr:uid="{00000000-0005-0000-0000-000029010000}"/>
    <cellStyle name="60% - アクセント 3 30" xfId="343" xr:uid="{00000000-0005-0000-0000-00002A010000}"/>
    <cellStyle name="60% - アクセント 3 4" xfId="344" xr:uid="{00000000-0005-0000-0000-00002B010000}"/>
    <cellStyle name="60% - アクセント 3 5" xfId="345" xr:uid="{00000000-0005-0000-0000-00002C010000}"/>
    <cellStyle name="60% - アクセント 3 6" xfId="346" xr:uid="{00000000-0005-0000-0000-00002D010000}"/>
    <cellStyle name="60% - アクセント 3 7" xfId="347" xr:uid="{00000000-0005-0000-0000-00002E010000}"/>
    <cellStyle name="60% - アクセント 3 8" xfId="348" xr:uid="{00000000-0005-0000-0000-00002F010000}"/>
    <cellStyle name="60% - アクセント 3 9" xfId="349" xr:uid="{00000000-0005-0000-0000-000030010000}"/>
    <cellStyle name="60% - アクセント 4 10" xfId="350" xr:uid="{00000000-0005-0000-0000-000031010000}"/>
    <cellStyle name="60% - アクセント 4 11" xfId="351" xr:uid="{00000000-0005-0000-0000-000032010000}"/>
    <cellStyle name="60% - アクセント 4 12" xfId="352" xr:uid="{00000000-0005-0000-0000-000033010000}"/>
    <cellStyle name="60% - アクセント 4 13" xfId="353" xr:uid="{00000000-0005-0000-0000-000034010000}"/>
    <cellStyle name="60% - アクセント 4 14" xfId="354" xr:uid="{00000000-0005-0000-0000-000035010000}"/>
    <cellStyle name="60% - アクセント 4 15" xfId="355" xr:uid="{00000000-0005-0000-0000-000036010000}"/>
    <cellStyle name="60% - アクセント 4 16" xfId="356" xr:uid="{00000000-0005-0000-0000-000037010000}"/>
    <cellStyle name="60% - アクセント 4 17" xfId="357" xr:uid="{00000000-0005-0000-0000-000038010000}"/>
    <cellStyle name="60% - アクセント 4 18" xfId="358" xr:uid="{00000000-0005-0000-0000-000039010000}"/>
    <cellStyle name="60% - アクセント 4 19" xfId="359" xr:uid="{00000000-0005-0000-0000-00003A010000}"/>
    <cellStyle name="60% - アクセント 4 2" xfId="18" xr:uid="{00000000-0005-0000-0000-00003B010000}"/>
    <cellStyle name="60% - アクセント 4 2 2" xfId="360" xr:uid="{00000000-0005-0000-0000-00003C010000}"/>
    <cellStyle name="60% - アクセント 4 20" xfId="361" xr:uid="{00000000-0005-0000-0000-00003D010000}"/>
    <cellStyle name="60% - アクセント 4 21" xfId="362" xr:uid="{00000000-0005-0000-0000-00003E010000}"/>
    <cellStyle name="60% - アクセント 4 22" xfId="363" xr:uid="{00000000-0005-0000-0000-00003F010000}"/>
    <cellStyle name="60% - アクセント 4 23" xfId="364" xr:uid="{00000000-0005-0000-0000-000040010000}"/>
    <cellStyle name="60% - アクセント 4 24" xfId="365" xr:uid="{00000000-0005-0000-0000-000041010000}"/>
    <cellStyle name="60% - アクセント 4 25" xfId="366" xr:uid="{00000000-0005-0000-0000-000042010000}"/>
    <cellStyle name="60% - アクセント 4 26" xfId="367" xr:uid="{00000000-0005-0000-0000-000043010000}"/>
    <cellStyle name="60% - アクセント 4 27" xfId="368" xr:uid="{00000000-0005-0000-0000-000044010000}"/>
    <cellStyle name="60% - アクセント 4 28" xfId="369" xr:uid="{00000000-0005-0000-0000-000045010000}"/>
    <cellStyle name="60% - アクセント 4 29" xfId="370" xr:uid="{00000000-0005-0000-0000-000046010000}"/>
    <cellStyle name="60% - アクセント 4 3" xfId="371" xr:uid="{00000000-0005-0000-0000-000047010000}"/>
    <cellStyle name="60% - アクセント 4 30" xfId="372" xr:uid="{00000000-0005-0000-0000-000048010000}"/>
    <cellStyle name="60% - アクセント 4 4" xfId="373" xr:uid="{00000000-0005-0000-0000-000049010000}"/>
    <cellStyle name="60% - アクセント 4 5" xfId="374" xr:uid="{00000000-0005-0000-0000-00004A010000}"/>
    <cellStyle name="60% - アクセント 4 6" xfId="375" xr:uid="{00000000-0005-0000-0000-00004B010000}"/>
    <cellStyle name="60% - アクセント 4 7" xfId="376" xr:uid="{00000000-0005-0000-0000-00004C010000}"/>
    <cellStyle name="60% - アクセント 4 8" xfId="377" xr:uid="{00000000-0005-0000-0000-00004D010000}"/>
    <cellStyle name="60% - アクセント 4 9" xfId="378" xr:uid="{00000000-0005-0000-0000-00004E010000}"/>
    <cellStyle name="60% - アクセント 5 2" xfId="19" xr:uid="{00000000-0005-0000-0000-00004F010000}"/>
    <cellStyle name="60% - アクセント 6 10" xfId="379" xr:uid="{00000000-0005-0000-0000-000050010000}"/>
    <cellStyle name="60% - アクセント 6 11" xfId="380" xr:uid="{00000000-0005-0000-0000-000051010000}"/>
    <cellStyle name="60% - アクセント 6 12" xfId="381" xr:uid="{00000000-0005-0000-0000-000052010000}"/>
    <cellStyle name="60% - アクセント 6 13" xfId="382" xr:uid="{00000000-0005-0000-0000-000053010000}"/>
    <cellStyle name="60% - アクセント 6 14" xfId="383" xr:uid="{00000000-0005-0000-0000-000054010000}"/>
    <cellStyle name="60% - アクセント 6 15" xfId="384" xr:uid="{00000000-0005-0000-0000-000055010000}"/>
    <cellStyle name="60% - アクセント 6 16" xfId="385" xr:uid="{00000000-0005-0000-0000-000056010000}"/>
    <cellStyle name="60% - アクセント 6 17" xfId="386" xr:uid="{00000000-0005-0000-0000-000057010000}"/>
    <cellStyle name="60% - アクセント 6 18" xfId="387" xr:uid="{00000000-0005-0000-0000-000058010000}"/>
    <cellStyle name="60% - アクセント 6 19" xfId="388" xr:uid="{00000000-0005-0000-0000-000059010000}"/>
    <cellStyle name="60% - アクセント 6 2" xfId="20" xr:uid="{00000000-0005-0000-0000-00005A010000}"/>
    <cellStyle name="60% - アクセント 6 2 2" xfId="389" xr:uid="{00000000-0005-0000-0000-00005B010000}"/>
    <cellStyle name="60% - アクセント 6 20" xfId="390" xr:uid="{00000000-0005-0000-0000-00005C010000}"/>
    <cellStyle name="60% - アクセント 6 21" xfId="391" xr:uid="{00000000-0005-0000-0000-00005D010000}"/>
    <cellStyle name="60% - アクセント 6 22" xfId="392" xr:uid="{00000000-0005-0000-0000-00005E010000}"/>
    <cellStyle name="60% - アクセント 6 23" xfId="393" xr:uid="{00000000-0005-0000-0000-00005F010000}"/>
    <cellStyle name="60% - アクセント 6 24" xfId="394" xr:uid="{00000000-0005-0000-0000-000060010000}"/>
    <cellStyle name="60% - アクセント 6 25" xfId="395" xr:uid="{00000000-0005-0000-0000-000061010000}"/>
    <cellStyle name="60% - アクセント 6 26" xfId="396" xr:uid="{00000000-0005-0000-0000-000062010000}"/>
    <cellStyle name="60% - アクセント 6 27" xfId="397" xr:uid="{00000000-0005-0000-0000-000063010000}"/>
    <cellStyle name="60% - アクセント 6 28" xfId="398" xr:uid="{00000000-0005-0000-0000-000064010000}"/>
    <cellStyle name="60% - アクセント 6 29" xfId="399" xr:uid="{00000000-0005-0000-0000-000065010000}"/>
    <cellStyle name="60% - アクセント 6 3" xfId="400" xr:uid="{00000000-0005-0000-0000-000066010000}"/>
    <cellStyle name="60% - アクセント 6 30" xfId="401" xr:uid="{00000000-0005-0000-0000-000067010000}"/>
    <cellStyle name="60% - アクセント 6 4" xfId="402" xr:uid="{00000000-0005-0000-0000-000068010000}"/>
    <cellStyle name="60% - アクセント 6 5" xfId="403" xr:uid="{00000000-0005-0000-0000-000069010000}"/>
    <cellStyle name="60% - アクセント 6 6" xfId="404" xr:uid="{00000000-0005-0000-0000-00006A010000}"/>
    <cellStyle name="60% - アクセント 6 7" xfId="405" xr:uid="{00000000-0005-0000-0000-00006B010000}"/>
    <cellStyle name="60% - アクセント 6 8" xfId="406" xr:uid="{00000000-0005-0000-0000-00006C010000}"/>
    <cellStyle name="60% - アクセント 6 9" xfId="407" xr:uid="{00000000-0005-0000-0000-00006D010000}"/>
    <cellStyle name="Excel Built-in Normal" xfId="21" xr:uid="{00000000-0005-0000-0000-00006E010000}"/>
    <cellStyle name="Excel Built-in Normal 2" xfId="22" xr:uid="{00000000-0005-0000-0000-00006F010000}"/>
    <cellStyle name="Excel_BuiltIn_20% - アクセント 1" xfId="408" xr:uid="{00000000-0005-0000-0000-000070010000}"/>
    <cellStyle name="Heading" xfId="409" xr:uid="{00000000-0005-0000-0000-000071010000}"/>
    <cellStyle name="Heading1" xfId="410" xr:uid="{00000000-0005-0000-0000-000072010000}"/>
    <cellStyle name="mori" xfId="411" xr:uid="{00000000-0005-0000-0000-000073010000}"/>
    <cellStyle name="Normal_AddressMap" xfId="412" xr:uid="{00000000-0005-0000-0000-000074010000}"/>
    <cellStyle name="Result" xfId="413" xr:uid="{00000000-0005-0000-0000-000075010000}"/>
    <cellStyle name="Result2" xfId="414" xr:uid="{00000000-0005-0000-0000-000076010000}"/>
    <cellStyle name="アクセント 1 10" xfId="415" xr:uid="{00000000-0005-0000-0000-000077010000}"/>
    <cellStyle name="アクセント 1 11" xfId="416" xr:uid="{00000000-0005-0000-0000-000078010000}"/>
    <cellStyle name="アクセント 1 12" xfId="417" xr:uid="{00000000-0005-0000-0000-000079010000}"/>
    <cellStyle name="アクセント 1 13" xfId="418" xr:uid="{00000000-0005-0000-0000-00007A010000}"/>
    <cellStyle name="アクセント 1 14" xfId="419" xr:uid="{00000000-0005-0000-0000-00007B010000}"/>
    <cellStyle name="アクセント 1 15" xfId="420" xr:uid="{00000000-0005-0000-0000-00007C010000}"/>
    <cellStyle name="アクセント 1 16" xfId="421" xr:uid="{00000000-0005-0000-0000-00007D010000}"/>
    <cellStyle name="アクセント 1 17" xfId="422" xr:uid="{00000000-0005-0000-0000-00007E010000}"/>
    <cellStyle name="アクセント 1 18" xfId="423" xr:uid="{00000000-0005-0000-0000-00007F010000}"/>
    <cellStyle name="アクセント 1 19" xfId="424" xr:uid="{00000000-0005-0000-0000-000080010000}"/>
    <cellStyle name="アクセント 1 2" xfId="23" xr:uid="{00000000-0005-0000-0000-000081010000}"/>
    <cellStyle name="アクセント 1 2 2" xfId="425" xr:uid="{00000000-0005-0000-0000-000082010000}"/>
    <cellStyle name="アクセント 1 20" xfId="426" xr:uid="{00000000-0005-0000-0000-000083010000}"/>
    <cellStyle name="アクセント 1 21" xfId="427" xr:uid="{00000000-0005-0000-0000-000084010000}"/>
    <cellStyle name="アクセント 1 22" xfId="428" xr:uid="{00000000-0005-0000-0000-000085010000}"/>
    <cellStyle name="アクセント 1 23" xfId="429" xr:uid="{00000000-0005-0000-0000-000086010000}"/>
    <cellStyle name="アクセント 1 24" xfId="430" xr:uid="{00000000-0005-0000-0000-000087010000}"/>
    <cellStyle name="アクセント 1 25" xfId="431" xr:uid="{00000000-0005-0000-0000-000088010000}"/>
    <cellStyle name="アクセント 1 26" xfId="432" xr:uid="{00000000-0005-0000-0000-000089010000}"/>
    <cellStyle name="アクセント 1 27" xfId="433" xr:uid="{00000000-0005-0000-0000-00008A010000}"/>
    <cellStyle name="アクセント 1 28" xfId="434" xr:uid="{00000000-0005-0000-0000-00008B010000}"/>
    <cellStyle name="アクセント 1 29" xfId="435" xr:uid="{00000000-0005-0000-0000-00008C010000}"/>
    <cellStyle name="アクセント 1 3" xfId="436" xr:uid="{00000000-0005-0000-0000-00008D010000}"/>
    <cellStyle name="アクセント 1 30" xfId="437" xr:uid="{00000000-0005-0000-0000-00008E010000}"/>
    <cellStyle name="アクセント 1 4" xfId="438" xr:uid="{00000000-0005-0000-0000-00008F010000}"/>
    <cellStyle name="アクセント 1 5" xfId="439" xr:uid="{00000000-0005-0000-0000-000090010000}"/>
    <cellStyle name="アクセント 1 6" xfId="440" xr:uid="{00000000-0005-0000-0000-000091010000}"/>
    <cellStyle name="アクセント 1 7" xfId="441" xr:uid="{00000000-0005-0000-0000-000092010000}"/>
    <cellStyle name="アクセント 1 8" xfId="442" xr:uid="{00000000-0005-0000-0000-000093010000}"/>
    <cellStyle name="アクセント 1 9" xfId="443" xr:uid="{00000000-0005-0000-0000-000094010000}"/>
    <cellStyle name="アクセント 2 2" xfId="24" xr:uid="{00000000-0005-0000-0000-000095010000}"/>
    <cellStyle name="アクセント 3 2" xfId="25" xr:uid="{00000000-0005-0000-0000-000096010000}"/>
    <cellStyle name="アクセント 4 10" xfId="444" xr:uid="{00000000-0005-0000-0000-000097010000}"/>
    <cellStyle name="アクセント 4 11" xfId="445" xr:uid="{00000000-0005-0000-0000-000098010000}"/>
    <cellStyle name="アクセント 4 12" xfId="446" xr:uid="{00000000-0005-0000-0000-000099010000}"/>
    <cellStyle name="アクセント 4 13" xfId="447" xr:uid="{00000000-0005-0000-0000-00009A010000}"/>
    <cellStyle name="アクセント 4 14" xfId="448" xr:uid="{00000000-0005-0000-0000-00009B010000}"/>
    <cellStyle name="アクセント 4 15" xfId="449" xr:uid="{00000000-0005-0000-0000-00009C010000}"/>
    <cellStyle name="アクセント 4 16" xfId="450" xr:uid="{00000000-0005-0000-0000-00009D010000}"/>
    <cellStyle name="アクセント 4 17" xfId="451" xr:uid="{00000000-0005-0000-0000-00009E010000}"/>
    <cellStyle name="アクセント 4 18" xfId="452" xr:uid="{00000000-0005-0000-0000-00009F010000}"/>
    <cellStyle name="アクセント 4 19" xfId="453" xr:uid="{00000000-0005-0000-0000-0000A0010000}"/>
    <cellStyle name="アクセント 4 2" xfId="26" xr:uid="{00000000-0005-0000-0000-0000A1010000}"/>
    <cellStyle name="アクセント 4 2 2" xfId="454" xr:uid="{00000000-0005-0000-0000-0000A2010000}"/>
    <cellStyle name="アクセント 4 20" xfId="455" xr:uid="{00000000-0005-0000-0000-0000A3010000}"/>
    <cellStyle name="アクセント 4 21" xfId="456" xr:uid="{00000000-0005-0000-0000-0000A4010000}"/>
    <cellStyle name="アクセント 4 22" xfId="457" xr:uid="{00000000-0005-0000-0000-0000A5010000}"/>
    <cellStyle name="アクセント 4 23" xfId="458" xr:uid="{00000000-0005-0000-0000-0000A6010000}"/>
    <cellStyle name="アクセント 4 24" xfId="459" xr:uid="{00000000-0005-0000-0000-0000A7010000}"/>
    <cellStyle name="アクセント 4 25" xfId="460" xr:uid="{00000000-0005-0000-0000-0000A8010000}"/>
    <cellStyle name="アクセント 4 26" xfId="461" xr:uid="{00000000-0005-0000-0000-0000A9010000}"/>
    <cellStyle name="アクセント 4 27" xfId="462" xr:uid="{00000000-0005-0000-0000-0000AA010000}"/>
    <cellStyle name="アクセント 4 28" xfId="463" xr:uid="{00000000-0005-0000-0000-0000AB010000}"/>
    <cellStyle name="アクセント 4 29" xfId="464" xr:uid="{00000000-0005-0000-0000-0000AC010000}"/>
    <cellStyle name="アクセント 4 3" xfId="465" xr:uid="{00000000-0005-0000-0000-0000AD010000}"/>
    <cellStyle name="アクセント 4 30" xfId="466" xr:uid="{00000000-0005-0000-0000-0000AE010000}"/>
    <cellStyle name="アクセント 4 4" xfId="467" xr:uid="{00000000-0005-0000-0000-0000AF010000}"/>
    <cellStyle name="アクセント 4 5" xfId="468" xr:uid="{00000000-0005-0000-0000-0000B0010000}"/>
    <cellStyle name="アクセント 4 6" xfId="469" xr:uid="{00000000-0005-0000-0000-0000B1010000}"/>
    <cellStyle name="アクセント 4 7" xfId="470" xr:uid="{00000000-0005-0000-0000-0000B2010000}"/>
    <cellStyle name="アクセント 4 8" xfId="471" xr:uid="{00000000-0005-0000-0000-0000B3010000}"/>
    <cellStyle name="アクセント 4 9" xfId="472" xr:uid="{00000000-0005-0000-0000-0000B4010000}"/>
    <cellStyle name="アクセント 5 2" xfId="27" xr:uid="{00000000-0005-0000-0000-0000B5010000}"/>
    <cellStyle name="アクセント 6 2" xfId="28" xr:uid="{00000000-0005-0000-0000-0000B6010000}"/>
    <cellStyle name="タイトル 10" xfId="473" xr:uid="{00000000-0005-0000-0000-0000B7010000}"/>
    <cellStyle name="タイトル 11" xfId="474" xr:uid="{00000000-0005-0000-0000-0000B8010000}"/>
    <cellStyle name="タイトル 12" xfId="475" xr:uid="{00000000-0005-0000-0000-0000B9010000}"/>
    <cellStyle name="タイトル 13" xfId="476" xr:uid="{00000000-0005-0000-0000-0000BA010000}"/>
    <cellStyle name="タイトル 14" xfId="477" xr:uid="{00000000-0005-0000-0000-0000BB010000}"/>
    <cellStyle name="タイトル 15" xfId="478" xr:uid="{00000000-0005-0000-0000-0000BC010000}"/>
    <cellStyle name="タイトル 16" xfId="479" xr:uid="{00000000-0005-0000-0000-0000BD010000}"/>
    <cellStyle name="タイトル 17" xfId="480" xr:uid="{00000000-0005-0000-0000-0000BE010000}"/>
    <cellStyle name="タイトル 18" xfId="481" xr:uid="{00000000-0005-0000-0000-0000BF010000}"/>
    <cellStyle name="タイトル 19" xfId="482" xr:uid="{00000000-0005-0000-0000-0000C0010000}"/>
    <cellStyle name="タイトル 2" xfId="29" xr:uid="{00000000-0005-0000-0000-0000C1010000}"/>
    <cellStyle name="タイトル 2 2" xfId="483" xr:uid="{00000000-0005-0000-0000-0000C2010000}"/>
    <cellStyle name="タイトル 20" xfId="484" xr:uid="{00000000-0005-0000-0000-0000C3010000}"/>
    <cellStyle name="タイトル 21" xfId="485" xr:uid="{00000000-0005-0000-0000-0000C4010000}"/>
    <cellStyle name="タイトル 22" xfId="486" xr:uid="{00000000-0005-0000-0000-0000C5010000}"/>
    <cellStyle name="タイトル 23" xfId="487" xr:uid="{00000000-0005-0000-0000-0000C6010000}"/>
    <cellStyle name="タイトル 24" xfId="488" xr:uid="{00000000-0005-0000-0000-0000C7010000}"/>
    <cellStyle name="タイトル 25" xfId="489" xr:uid="{00000000-0005-0000-0000-0000C8010000}"/>
    <cellStyle name="タイトル 26" xfId="490" xr:uid="{00000000-0005-0000-0000-0000C9010000}"/>
    <cellStyle name="タイトル 27" xfId="491" xr:uid="{00000000-0005-0000-0000-0000CA010000}"/>
    <cellStyle name="タイトル 28" xfId="492" xr:uid="{00000000-0005-0000-0000-0000CB010000}"/>
    <cellStyle name="タイトル 29" xfId="493" xr:uid="{00000000-0005-0000-0000-0000CC010000}"/>
    <cellStyle name="タイトル 3" xfId="494" xr:uid="{00000000-0005-0000-0000-0000CD010000}"/>
    <cellStyle name="タイトル 30" xfId="495" xr:uid="{00000000-0005-0000-0000-0000CE010000}"/>
    <cellStyle name="タイトル 4" xfId="496" xr:uid="{00000000-0005-0000-0000-0000CF010000}"/>
    <cellStyle name="タイトル 5" xfId="497" xr:uid="{00000000-0005-0000-0000-0000D0010000}"/>
    <cellStyle name="タイトル 6" xfId="498" xr:uid="{00000000-0005-0000-0000-0000D1010000}"/>
    <cellStyle name="タイトル 7" xfId="499" xr:uid="{00000000-0005-0000-0000-0000D2010000}"/>
    <cellStyle name="タイトル 8" xfId="500" xr:uid="{00000000-0005-0000-0000-0000D3010000}"/>
    <cellStyle name="タイトル 9" xfId="501" xr:uid="{00000000-0005-0000-0000-0000D4010000}"/>
    <cellStyle name="チェック セル 2" xfId="30" xr:uid="{00000000-0005-0000-0000-0000D5010000}"/>
    <cellStyle name="どちらでもない 2" xfId="31" xr:uid="{00000000-0005-0000-0000-0000D6010000}"/>
    <cellStyle name="ハイパーリンク" xfId="764" builtinId="8"/>
    <cellStyle name="メモ 10" xfId="502" xr:uid="{00000000-0005-0000-0000-0000D8010000}"/>
    <cellStyle name="メモ 11" xfId="503" xr:uid="{00000000-0005-0000-0000-0000D9010000}"/>
    <cellStyle name="メモ 12" xfId="504" xr:uid="{00000000-0005-0000-0000-0000DA010000}"/>
    <cellStyle name="メモ 13" xfId="505" xr:uid="{00000000-0005-0000-0000-0000DB010000}"/>
    <cellStyle name="メモ 14" xfId="506" xr:uid="{00000000-0005-0000-0000-0000DC010000}"/>
    <cellStyle name="メモ 15" xfId="507" xr:uid="{00000000-0005-0000-0000-0000DD010000}"/>
    <cellStyle name="メモ 16" xfId="508" xr:uid="{00000000-0005-0000-0000-0000DE010000}"/>
    <cellStyle name="メモ 17" xfId="509" xr:uid="{00000000-0005-0000-0000-0000DF010000}"/>
    <cellStyle name="メモ 18" xfId="510" xr:uid="{00000000-0005-0000-0000-0000E0010000}"/>
    <cellStyle name="メモ 19" xfId="511" xr:uid="{00000000-0005-0000-0000-0000E1010000}"/>
    <cellStyle name="メモ 2" xfId="32" xr:uid="{00000000-0005-0000-0000-0000E2010000}"/>
    <cellStyle name="メモ 2 2" xfId="512" xr:uid="{00000000-0005-0000-0000-0000E3010000}"/>
    <cellStyle name="メモ 20" xfId="513" xr:uid="{00000000-0005-0000-0000-0000E4010000}"/>
    <cellStyle name="メモ 21" xfId="514" xr:uid="{00000000-0005-0000-0000-0000E5010000}"/>
    <cellStyle name="メモ 22" xfId="515" xr:uid="{00000000-0005-0000-0000-0000E6010000}"/>
    <cellStyle name="メモ 23" xfId="516" xr:uid="{00000000-0005-0000-0000-0000E7010000}"/>
    <cellStyle name="メモ 24" xfId="517" xr:uid="{00000000-0005-0000-0000-0000E8010000}"/>
    <cellStyle name="メモ 25" xfId="518" xr:uid="{00000000-0005-0000-0000-0000E9010000}"/>
    <cellStyle name="メモ 26" xfId="519" xr:uid="{00000000-0005-0000-0000-0000EA010000}"/>
    <cellStyle name="メモ 27" xfId="520" xr:uid="{00000000-0005-0000-0000-0000EB010000}"/>
    <cellStyle name="メモ 28" xfId="521" xr:uid="{00000000-0005-0000-0000-0000EC010000}"/>
    <cellStyle name="メモ 29" xfId="522" xr:uid="{00000000-0005-0000-0000-0000ED010000}"/>
    <cellStyle name="メモ 3" xfId="523" xr:uid="{00000000-0005-0000-0000-0000EE010000}"/>
    <cellStyle name="メモ 30" xfId="524" xr:uid="{00000000-0005-0000-0000-0000EF010000}"/>
    <cellStyle name="メモ 4" xfId="525" xr:uid="{00000000-0005-0000-0000-0000F0010000}"/>
    <cellStyle name="メモ 5" xfId="526" xr:uid="{00000000-0005-0000-0000-0000F1010000}"/>
    <cellStyle name="メモ 6" xfId="527" xr:uid="{00000000-0005-0000-0000-0000F2010000}"/>
    <cellStyle name="メモ 7" xfId="528" xr:uid="{00000000-0005-0000-0000-0000F3010000}"/>
    <cellStyle name="メモ 8" xfId="529" xr:uid="{00000000-0005-0000-0000-0000F4010000}"/>
    <cellStyle name="メモ 9" xfId="530" xr:uid="{00000000-0005-0000-0000-0000F5010000}"/>
    <cellStyle name="リンク セル 2" xfId="33" xr:uid="{00000000-0005-0000-0000-0000F6010000}"/>
    <cellStyle name="悪い 2" xfId="34" xr:uid="{00000000-0005-0000-0000-0000F7010000}"/>
    <cellStyle name="計算 10" xfId="531" xr:uid="{00000000-0005-0000-0000-0000F8010000}"/>
    <cellStyle name="計算 11" xfId="532" xr:uid="{00000000-0005-0000-0000-0000F9010000}"/>
    <cellStyle name="計算 12" xfId="533" xr:uid="{00000000-0005-0000-0000-0000FA010000}"/>
    <cellStyle name="計算 13" xfId="534" xr:uid="{00000000-0005-0000-0000-0000FB010000}"/>
    <cellStyle name="計算 14" xfId="535" xr:uid="{00000000-0005-0000-0000-0000FC010000}"/>
    <cellStyle name="計算 15" xfId="536" xr:uid="{00000000-0005-0000-0000-0000FD010000}"/>
    <cellStyle name="計算 16" xfId="537" xr:uid="{00000000-0005-0000-0000-0000FE010000}"/>
    <cellStyle name="計算 17" xfId="538" xr:uid="{00000000-0005-0000-0000-0000FF010000}"/>
    <cellStyle name="計算 18" xfId="539" xr:uid="{00000000-0005-0000-0000-000000020000}"/>
    <cellStyle name="計算 19" xfId="540" xr:uid="{00000000-0005-0000-0000-000001020000}"/>
    <cellStyle name="計算 2" xfId="35" xr:uid="{00000000-0005-0000-0000-000002020000}"/>
    <cellStyle name="計算 2 2" xfId="541" xr:uid="{00000000-0005-0000-0000-000003020000}"/>
    <cellStyle name="計算 20" xfId="542" xr:uid="{00000000-0005-0000-0000-000004020000}"/>
    <cellStyle name="計算 21" xfId="543" xr:uid="{00000000-0005-0000-0000-000005020000}"/>
    <cellStyle name="計算 22" xfId="544" xr:uid="{00000000-0005-0000-0000-000006020000}"/>
    <cellStyle name="計算 23" xfId="545" xr:uid="{00000000-0005-0000-0000-000007020000}"/>
    <cellStyle name="計算 24" xfId="546" xr:uid="{00000000-0005-0000-0000-000008020000}"/>
    <cellStyle name="計算 25" xfId="547" xr:uid="{00000000-0005-0000-0000-000009020000}"/>
    <cellStyle name="計算 26" xfId="548" xr:uid="{00000000-0005-0000-0000-00000A020000}"/>
    <cellStyle name="計算 27" xfId="549" xr:uid="{00000000-0005-0000-0000-00000B020000}"/>
    <cellStyle name="計算 28" xfId="550" xr:uid="{00000000-0005-0000-0000-00000C020000}"/>
    <cellStyle name="計算 29" xfId="551" xr:uid="{00000000-0005-0000-0000-00000D020000}"/>
    <cellStyle name="計算 3" xfId="552" xr:uid="{00000000-0005-0000-0000-00000E020000}"/>
    <cellStyle name="計算 30" xfId="553" xr:uid="{00000000-0005-0000-0000-00000F020000}"/>
    <cellStyle name="計算 4" xfId="554" xr:uid="{00000000-0005-0000-0000-000010020000}"/>
    <cellStyle name="計算 5" xfId="555" xr:uid="{00000000-0005-0000-0000-000011020000}"/>
    <cellStyle name="計算 6" xfId="556" xr:uid="{00000000-0005-0000-0000-000012020000}"/>
    <cellStyle name="計算 7" xfId="557" xr:uid="{00000000-0005-0000-0000-000013020000}"/>
    <cellStyle name="計算 8" xfId="558" xr:uid="{00000000-0005-0000-0000-000014020000}"/>
    <cellStyle name="計算 9" xfId="559" xr:uid="{00000000-0005-0000-0000-000015020000}"/>
    <cellStyle name="警告文 2" xfId="36" xr:uid="{00000000-0005-0000-0000-000016020000}"/>
    <cellStyle name="見出し 1 10" xfId="560" xr:uid="{00000000-0005-0000-0000-000017020000}"/>
    <cellStyle name="見出し 1 11" xfId="561" xr:uid="{00000000-0005-0000-0000-000018020000}"/>
    <cellStyle name="見出し 1 12" xfId="562" xr:uid="{00000000-0005-0000-0000-000019020000}"/>
    <cellStyle name="見出し 1 13" xfId="563" xr:uid="{00000000-0005-0000-0000-00001A020000}"/>
    <cellStyle name="見出し 1 14" xfId="564" xr:uid="{00000000-0005-0000-0000-00001B020000}"/>
    <cellStyle name="見出し 1 15" xfId="565" xr:uid="{00000000-0005-0000-0000-00001C020000}"/>
    <cellStyle name="見出し 1 16" xfId="566" xr:uid="{00000000-0005-0000-0000-00001D020000}"/>
    <cellStyle name="見出し 1 17" xfId="567" xr:uid="{00000000-0005-0000-0000-00001E020000}"/>
    <cellStyle name="見出し 1 18" xfId="568" xr:uid="{00000000-0005-0000-0000-00001F020000}"/>
    <cellStyle name="見出し 1 19" xfId="569" xr:uid="{00000000-0005-0000-0000-000020020000}"/>
    <cellStyle name="見出し 1 2" xfId="37" xr:uid="{00000000-0005-0000-0000-000021020000}"/>
    <cellStyle name="見出し 1 2 2" xfId="570" xr:uid="{00000000-0005-0000-0000-000022020000}"/>
    <cellStyle name="見出し 1 20" xfId="571" xr:uid="{00000000-0005-0000-0000-000023020000}"/>
    <cellStyle name="見出し 1 21" xfId="572" xr:uid="{00000000-0005-0000-0000-000024020000}"/>
    <cellStyle name="見出し 1 22" xfId="573" xr:uid="{00000000-0005-0000-0000-000025020000}"/>
    <cellStyle name="見出し 1 23" xfId="574" xr:uid="{00000000-0005-0000-0000-000026020000}"/>
    <cellStyle name="見出し 1 24" xfId="575" xr:uid="{00000000-0005-0000-0000-000027020000}"/>
    <cellStyle name="見出し 1 25" xfId="576" xr:uid="{00000000-0005-0000-0000-000028020000}"/>
    <cellStyle name="見出し 1 26" xfId="577" xr:uid="{00000000-0005-0000-0000-000029020000}"/>
    <cellStyle name="見出し 1 27" xfId="578" xr:uid="{00000000-0005-0000-0000-00002A020000}"/>
    <cellStyle name="見出し 1 28" xfId="579" xr:uid="{00000000-0005-0000-0000-00002B020000}"/>
    <cellStyle name="見出し 1 29" xfId="580" xr:uid="{00000000-0005-0000-0000-00002C020000}"/>
    <cellStyle name="見出し 1 3" xfId="581" xr:uid="{00000000-0005-0000-0000-00002D020000}"/>
    <cellStyle name="見出し 1 30" xfId="582" xr:uid="{00000000-0005-0000-0000-00002E020000}"/>
    <cellStyle name="見出し 1 4" xfId="583" xr:uid="{00000000-0005-0000-0000-00002F020000}"/>
    <cellStyle name="見出し 1 5" xfId="584" xr:uid="{00000000-0005-0000-0000-000030020000}"/>
    <cellStyle name="見出し 1 6" xfId="585" xr:uid="{00000000-0005-0000-0000-000031020000}"/>
    <cellStyle name="見出し 1 7" xfId="586" xr:uid="{00000000-0005-0000-0000-000032020000}"/>
    <cellStyle name="見出し 1 8" xfId="587" xr:uid="{00000000-0005-0000-0000-000033020000}"/>
    <cellStyle name="見出し 1 9" xfId="588" xr:uid="{00000000-0005-0000-0000-000034020000}"/>
    <cellStyle name="見出し 2 10" xfId="589" xr:uid="{00000000-0005-0000-0000-000035020000}"/>
    <cellStyle name="見出し 2 11" xfId="590" xr:uid="{00000000-0005-0000-0000-000036020000}"/>
    <cellStyle name="見出し 2 12" xfId="591" xr:uid="{00000000-0005-0000-0000-000037020000}"/>
    <cellStyle name="見出し 2 13" xfId="592" xr:uid="{00000000-0005-0000-0000-000038020000}"/>
    <cellStyle name="見出し 2 14" xfId="593" xr:uid="{00000000-0005-0000-0000-000039020000}"/>
    <cellStyle name="見出し 2 15" xfId="594" xr:uid="{00000000-0005-0000-0000-00003A020000}"/>
    <cellStyle name="見出し 2 16" xfId="595" xr:uid="{00000000-0005-0000-0000-00003B020000}"/>
    <cellStyle name="見出し 2 17" xfId="596" xr:uid="{00000000-0005-0000-0000-00003C020000}"/>
    <cellStyle name="見出し 2 18" xfId="597" xr:uid="{00000000-0005-0000-0000-00003D020000}"/>
    <cellStyle name="見出し 2 19" xfId="598" xr:uid="{00000000-0005-0000-0000-00003E020000}"/>
    <cellStyle name="見出し 2 2" xfId="38" xr:uid="{00000000-0005-0000-0000-00003F020000}"/>
    <cellStyle name="見出し 2 2 2" xfId="599" xr:uid="{00000000-0005-0000-0000-000040020000}"/>
    <cellStyle name="見出し 2 20" xfId="600" xr:uid="{00000000-0005-0000-0000-000041020000}"/>
    <cellStyle name="見出し 2 21" xfId="601" xr:uid="{00000000-0005-0000-0000-000042020000}"/>
    <cellStyle name="見出し 2 22" xfId="602" xr:uid="{00000000-0005-0000-0000-000043020000}"/>
    <cellStyle name="見出し 2 23" xfId="603" xr:uid="{00000000-0005-0000-0000-000044020000}"/>
    <cellStyle name="見出し 2 24" xfId="604" xr:uid="{00000000-0005-0000-0000-000045020000}"/>
    <cellStyle name="見出し 2 25" xfId="605" xr:uid="{00000000-0005-0000-0000-000046020000}"/>
    <cellStyle name="見出し 2 26" xfId="606" xr:uid="{00000000-0005-0000-0000-000047020000}"/>
    <cellStyle name="見出し 2 27" xfId="607" xr:uid="{00000000-0005-0000-0000-000048020000}"/>
    <cellStyle name="見出し 2 28" xfId="608" xr:uid="{00000000-0005-0000-0000-000049020000}"/>
    <cellStyle name="見出し 2 29" xfId="609" xr:uid="{00000000-0005-0000-0000-00004A020000}"/>
    <cellStyle name="見出し 2 3" xfId="610" xr:uid="{00000000-0005-0000-0000-00004B020000}"/>
    <cellStyle name="見出し 2 30" xfId="611" xr:uid="{00000000-0005-0000-0000-00004C020000}"/>
    <cellStyle name="見出し 2 4" xfId="612" xr:uid="{00000000-0005-0000-0000-00004D020000}"/>
    <cellStyle name="見出し 2 5" xfId="613" xr:uid="{00000000-0005-0000-0000-00004E020000}"/>
    <cellStyle name="見出し 2 6" xfId="614" xr:uid="{00000000-0005-0000-0000-00004F020000}"/>
    <cellStyle name="見出し 2 7" xfId="615" xr:uid="{00000000-0005-0000-0000-000050020000}"/>
    <cellStyle name="見出し 2 8" xfId="616" xr:uid="{00000000-0005-0000-0000-000051020000}"/>
    <cellStyle name="見出し 2 9" xfId="617" xr:uid="{00000000-0005-0000-0000-000052020000}"/>
    <cellStyle name="見出し 3 10" xfId="618" xr:uid="{00000000-0005-0000-0000-000053020000}"/>
    <cellStyle name="見出し 3 11" xfId="619" xr:uid="{00000000-0005-0000-0000-000054020000}"/>
    <cellStyle name="見出し 3 12" xfId="620" xr:uid="{00000000-0005-0000-0000-000055020000}"/>
    <cellStyle name="見出し 3 13" xfId="621" xr:uid="{00000000-0005-0000-0000-000056020000}"/>
    <cellStyle name="見出し 3 14" xfId="622" xr:uid="{00000000-0005-0000-0000-000057020000}"/>
    <cellStyle name="見出し 3 15" xfId="623" xr:uid="{00000000-0005-0000-0000-000058020000}"/>
    <cellStyle name="見出し 3 16" xfId="624" xr:uid="{00000000-0005-0000-0000-000059020000}"/>
    <cellStyle name="見出し 3 17" xfId="625" xr:uid="{00000000-0005-0000-0000-00005A020000}"/>
    <cellStyle name="見出し 3 18" xfId="626" xr:uid="{00000000-0005-0000-0000-00005B020000}"/>
    <cellStyle name="見出し 3 19" xfId="627" xr:uid="{00000000-0005-0000-0000-00005C020000}"/>
    <cellStyle name="見出し 3 2" xfId="39" xr:uid="{00000000-0005-0000-0000-00005D020000}"/>
    <cellStyle name="見出し 3 2 2" xfId="628" xr:uid="{00000000-0005-0000-0000-00005E020000}"/>
    <cellStyle name="見出し 3 20" xfId="629" xr:uid="{00000000-0005-0000-0000-00005F020000}"/>
    <cellStyle name="見出し 3 21" xfId="630" xr:uid="{00000000-0005-0000-0000-000060020000}"/>
    <cellStyle name="見出し 3 22" xfId="631" xr:uid="{00000000-0005-0000-0000-000061020000}"/>
    <cellStyle name="見出し 3 23" xfId="632" xr:uid="{00000000-0005-0000-0000-000062020000}"/>
    <cellStyle name="見出し 3 24" xfId="633" xr:uid="{00000000-0005-0000-0000-000063020000}"/>
    <cellStyle name="見出し 3 25" xfId="634" xr:uid="{00000000-0005-0000-0000-000064020000}"/>
    <cellStyle name="見出し 3 26" xfId="635" xr:uid="{00000000-0005-0000-0000-000065020000}"/>
    <cellStyle name="見出し 3 27" xfId="636" xr:uid="{00000000-0005-0000-0000-000066020000}"/>
    <cellStyle name="見出し 3 28" xfId="637" xr:uid="{00000000-0005-0000-0000-000067020000}"/>
    <cellStyle name="見出し 3 29" xfId="638" xr:uid="{00000000-0005-0000-0000-000068020000}"/>
    <cellStyle name="見出し 3 3" xfId="639" xr:uid="{00000000-0005-0000-0000-000069020000}"/>
    <cellStyle name="見出し 3 30" xfId="640" xr:uid="{00000000-0005-0000-0000-00006A020000}"/>
    <cellStyle name="見出し 3 4" xfId="641" xr:uid="{00000000-0005-0000-0000-00006B020000}"/>
    <cellStyle name="見出し 3 5" xfId="642" xr:uid="{00000000-0005-0000-0000-00006C020000}"/>
    <cellStyle name="見出し 3 6" xfId="643" xr:uid="{00000000-0005-0000-0000-00006D020000}"/>
    <cellStyle name="見出し 3 7" xfId="644" xr:uid="{00000000-0005-0000-0000-00006E020000}"/>
    <cellStyle name="見出し 3 8" xfId="645" xr:uid="{00000000-0005-0000-0000-00006F020000}"/>
    <cellStyle name="見出し 3 9" xfId="646" xr:uid="{00000000-0005-0000-0000-000070020000}"/>
    <cellStyle name="見出し 4 10" xfId="647" xr:uid="{00000000-0005-0000-0000-000071020000}"/>
    <cellStyle name="見出し 4 11" xfId="648" xr:uid="{00000000-0005-0000-0000-000072020000}"/>
    <cellStyle name="見出し 4 12" xfId="649" xr:uid="{00000000-0005-0000-0000-000073020000}"/>
    <cellStyle name="見出し 4 13" xfId="650" xr:uid="{00000000-0005-0000-0000-000074020000}"/>
    <cellStyle name="見出し 4 14" xfId="651" xr:uid="{00000000-0005-0000-0000-000075020000}"/>
    <cellStyle name="見出し 4 15" xfId="652" xr:uid="{00000000-0005-0000-0000-000076020000}"/>
    <cellStyle name="見出し 4 16" xfId="653" xr:uid="{00000000-0005-0000-0000-000077020000}"/>
    <cellStyle name="見出し 4 17" xfId="654" xr:uid="{00000000-0005-0000-0000-000078020000}"/>
    <cellStyle name="見出し 4 18" xfId="655" xr:uid="{00000000-0005-0000-0000-000079020000}"/>
    <cellStyle name="見出し 4 19" xfId="656" xr:uid="{00000000-0005-0000-0000-00007A020000}"/>
    <cellStyle name="見出し 4 2" xfId="40" xr:uid="{00000000-0005-0000-0000-00007B020000}"/>
    <cellStyle name="見出し 4 2 2" xfId="657" xr:uid="{00000000-0005-0000-0000-00007C020000}"/>
    <cellStyle name="見出し 4 20" xfId="658" xr:uid="{00000000-0005-0000-0000-00007D020000}"/>
    <cellStyle name="見出し 4 21" xfId="659" xr:uid="{00000000-0005-0000-0000-00007E020000}"/>
    <cellStyle name="見出し 4 22" xfId="660" xr:uid="{00000000-0005-0000-0000-00007F020000}"/>
    <cellStyle name="見出し 4 23" xfId="661" xr:uid="{00000000-0005-0000-0000-000080020000}"/>
    <cellStyle name="見出し 4 24" xfId="662" xr:uid="{00000000-0005-0000-0000-000081020000}"/>
    <cellStyle name="見出し 4 25" xfId="663" xr:uid="{00000000-0005-0000-0000-000082020000}"/>
    <cellStyle name="見出し 4 26" xfId="664" xr:uid="{00000000-0005-0000-0000-000083020000}"/>
    <cellStyle name="見出し 4 27" xfId="665" xr:uid="{00000000-0005-0000-0000-000084020000}"/>
    <cellStyle name="見出し 4 28" xfId="666" xr:uid="{00000000-0005-0000-0000-000085020000}"/>
    <cellStyle name="見出し 4 29" xfId="667" xr:uid="{00000000-0005-0000-0000-000086020000}"/>
    <cellStyle name="見出し 4 3" xfId="668" xr:uid="{00000000-0005-0000-0000-000087020000}"/>
    <cellStyle name="見出し 4 30" xfId="669" xr:uid="{00000000-0005-0000-0000-000088020000}"/>
    <cellStyle name="見出し 4 4" xfId="670" xr:uid="{00000000-0005-0000-0000-000089020000}"/>
    <cellStyle name="見出し 4 5" xfId="671" xr:uid="{00000000-0005-0000-0000-00008A020000}"/>
    <cellStyle name="見出し 4 6" xfId="672" xr:uid="{00000000-0005-0000-0000-00008B020000}"/>
    <cellStyle name="見出し 4 7" xfId="673" xr:uid="{00000000-0005-0000-0000-00008C020000}"/>
    <cellStyle name="見出し 4 8" xfId="674" xr:uid="{00000000-0005-0000-0000-00008D020000}"/>
    <cellStyle name="見出し 4 9" xfId="675" xr:uid="{00000000-0005-0000-0000-00008E020000}"/>
    <cellStyle name="集計 10" xfId="676" xr:uid="{00000000-0005-0000-0000-00008F020000}"/>
    <cellStyle name="集計 11" xfId="677" xr:uid="{00000000-0005-0000-0000-000090020000}"/>
    <cellStyle name="集計 12" xfId="678" xr:uid="{00000000-0005-0000-0000-000091020000}"/>
    <cellStyle name="集計 13" xfId="679" xr:uid="{00000000-0005-0000-0000-000092020000}"/>
    <cellStyle name="集計 14" xfId="680" xr:uid="{00000000-0005-0000-0000-000093020000}"/>
    <cellStyle name="集計 15" xfId="681" xr:uid="{00000000-0005-0000-0000-000094020000}"/>
    <cellStyle name="集計 16" xfId="682" xr:uid="{00000000-0005-0000-0000-000095020000}"/>
    <cellStyle name="集計 17" xfId="683" xr:uid="{00000000-0005-0000-0000-000096020000}"/>
    <cellStyle name="集計 18" xfId="684" xr:uid="{00000000-0005-0000-0000-000097020000}"/>
    <cellStyle name="集計 19" xfId="685" xr:uid="{00000000-0005-0000-0000-000098020000}"/>
    <cellStyle name="集計 2" xfId="41" xr:uid="{00000000-0005-0000-0000-000099020000}"/>
    <cellStyle name="集計 2 2" xfId="686" xr:uid="{00000000-0005-0000-0000-00009A020000}"/>
    <cellStyle name="集計 20" xfId="687" xr:uid="{00000000-0005-0000-0000-00009B020000}"/>
    <cellStyle name="集計 21" xfId="688" xr:uid="{00000000-0005-0000-0000-00009C020000}"/>
    <cellStyle name="集計 22" xfId="689" xr:uid="{00000000-0005-0000-0000-00009D020000}"/>
    <cellStyle name="集計 23" xfId="690" xr:uid="{00000000-0005-0000-0000-00009E020000}"/>
    <cellStyle name="集計 24" xfId="691" xr:uid="{00000000-0005-0000-0000-00009F020000}"/>
    <cellStyle name="集計 25" xfId="692" xr:uid="{00000000-0005-0000-0000-0000A0020000}"/>
    <cellStyle name="集計 26" xfId="693" xr:uid="{00000000-0005-0000-0000-0000A1020000}"/>
    <cellStyle name="集計 27" xfId="694" xr:uid="{00000000-0005-0000-0000-0000A2020000}"/>
    <cellStyle name="集計 28" xfId="695" xr:uid="{00000000-0005-0000-0000-0000A3020000}"/>
    <cellStyle name="集計 29" xfId="696" xr:uid="{00000000-0005-0000-0000-0000A4020000}"/>
    <cellStyle name="集計 3" xfId="697" xr:uid="{00000000-0005-0000-0000-0000A5020000}"/>
    <cellStyle name="集計 30" xfId="698" xr:uid="{00000000-0005-0000-0000-0000A6020000}"/>
    <cellStyle name="集計 4" xfId="699" xr:uid="{00000000-0005-0000-0000-0000A7020000}"/>
    <cellStyle name="集計 5" xfId="700" xr:uid="{00000000-0005-0000-0000-0000A8020000}"/>
    <cellStyle name="集計 6" xfId="701" xr:uid="{00000000-0005-0000-0000-0000A9020000}"/>
    <cellStyle name="集計 7" xfId="702" xr:uid="{00000000-0005-0000-0000-0000AA020000}"/>
    <cellStyle name="集計 8" xfId="703" xr:uid="{00000000-0005-0000-0000-0000AB020000}"/>
    <cellStyle name="集計 9" xfId="704" xr:uid="{00000000-0005-0000-0000-0000AC020000}"/>
    <cellStyle name="出力 10" xfId="705" xr:uid="{00000000-0005-0000-0000-0000AD020000}"/>
    <cellStyle name="出力 11" xfId="706" xr:uid="{00000000-0005-0000-0000-0000AE020000}"/>
    <cellStyle name="出力 12" xfId="707" xr:uid="{00000000-0005-0000-0000-0000AF020000}"/>
    <cellStyle name="出力 13" xfId="708" xr:uid="{00000000-0005-0000-0000-0000B0020000}"/>
    <cellStyle name="出力 14" xfId="709" xr:uid="{00000000-0005-0000-0000-0000B1020000}"/>
    <cellStyle name="出力 15" xfId="710" xr:uid="{00000000-0005-0000-0000-0000B2020000}"/>
    <cellStyle name="出力 16" xfId="711" xr:uid="{00000000-0005-0000-0000-0000B3020000}"/>
    <cellStyle name="出力 17" xfId="712" xr:uid="{00000000-0005-0000-0000-0000B4020000}"/>
    <cellStyle name="出力 18" xfId="713" xr:uid="{00000000-0005-0000-0000-0000B5020000}"/>
    <cellStyle name="出力 19" xfId="714" xr:uid="{00000000-0005-0000-0000-0000B6020000}"/>
    <cellStyle name="出力 2" xfId="42" xr:uid="{00000000-0005-0000-0000-0000B7020000}"/>
    <cellStyle name="出力 2 2" xfId="715" xr:uid="{00000000-0005-0000-0000-0000B8020000}"/>
    <cellStyle name="出力 20" xfId="716" xr:uid="{00000000-0005-0000-0000-0000B9020000}"/>
    <cellStyle name="出力 21" xfId="717" xr:uid="{00000000-0005-0000-0000-0000BA020000}"/>
    <cellStyle name="出力 22" xfId="718" xr:uid="{00000000-0005-0000-0000-0000BB020000}"/>
    <cellStyle name="出力 23" xfId="719" xr:uid="{00000000-0005-0000-0000-0000BC020000}"/>
    <cellStyle name="出力 24" xfId="720" xr:uid="{00000000-0005-0000-0000-0000BD020000}"/>
    <cellStyle name="出力 25" xfId="721" xr:uid="{00000000-0005-0000-0000-0000BE020000}"/>
    <cellStyle name="出力 26" xfId="722" xr:uid="{00000000-0005-0000-0000-0000BF020000}"/>
    <cellStyle name="出力 27" xfId="723" xr:uid="{00000000-0005-0000-0000-0000C0020000}"/>
    <cellStyle name="出力 28" xfId="724" xr:uid="{00000000-0005-0000-0000-0000C1020000}"/>
    <cellStyle name="出力 29" xfId="725" xr:uid="{00000000-0005-0000-0000-0000C2020000}"/>
    <cellStyle name="出力 3" xfId="726" xr:uid="{00000000-0005-0000-0000-0000C3020000}"/>
    <cellStyle name="出力 30" xfId="727" xr:uid="{00000000-0005-0000-0000-0000C4020000}"/>
    <cellStyle name="出力 4" xfId="728" xr:uid="{00000000-0005-0000-0000-0000C5020000}"/>
    <cellStyle name="出力 5" xfId="729" xr:uid="{00000000-0005-0000-0000-0000C6020000}"/>
    <cellStyle name="出力 6" xfId="730" xr:uid="{00000000-0005-0000-0000-0000C7020000}"/>
    <cellStyle name="出力 7" xfId="731" xr:uid="{00000000-0005-0000-0000-0000C8020000}"/>
    <cellStyle name="出力 8" xfId="732" xr:uid="{00000000-0005-0000-0000-0000C9020000}"/>
    <cellStyle name="出力 9" xfId="733" xr:uid="{00000000-0005-0000-0000-0000CA020000}"/>
    <cellStyle name="説明文 2" xfId="43" xr:uid="{00000000-0005-0000-0000-0000CB020000}"/>
    <cellStyle name="入力 2" xfId="44" xr:uid="{00000000-0005-0000-0000-0000CC020000}"/>
    <cellStyle name="標準" xfId="0" builtinId="0"/>
    <cellStyle name="標準 10" xfId="734" xr:uid="{00000000-0005-0000-0000-0000CE020000}"/>
    <cellStyle name="標準 11" xfId="735" xr:uid="{00000000-0005-0000-0000-0000CF020000}"/>
    <cellStyle name="標準 12" xfId="736" xr:uid="{00000000-0005-0000-0000-0000D0020000}"/>
    <cellStyle name="標準 13" xfId="737" xr:uid="{00000000-0005-0000-0000-0000D1020000}"/>
    <cellStyle name="標準 14" xfId="738" xr:uid="{00000000-0005-0000-0000-0000D2020000}"/>
    <cellStyle name="標準 15" xfId="739" xr:uid="{00000000-0005-0000-0000-0000D3020000}"/>
    <cellStyle name="標準 16" xfId="740" xr:uid="{00000000-0005-0000-0000-0000D4020000}"/>
    <cellStyle name="標準 17" xfId="741" xr:uid="{00000000-0005-0000-0000-0000D5020000}"/>
    <cellStyle name="標準 18" xfId="742" xr:uid="{00000000-0005-0000-0000-0000D6020000}"/>
    <cellStyle name="標準 19" xfId="743" xr:uid="{00000000-0005-0000-0000-0000D7020000}"/>
    <cellStyle name="標準 2" xfId="1" xr:uid="{00000000-0005-0000-0000-0000D8020000}"/>
    <cellStyle name="標準 2 2" xfId="45" xr:uid="{00000000-0005-0000-0000-0000D9020000}"/>
    <cellStyle name="標準 2 3" xfId="50" xr:uid="{00000000-0005-0000-0000-0000DA020000}"/>
    <cellStyle name="標準 2 4" xfId="744" xr:uid="{00000000-0005-0000-0000-0000DB020000}"/>
    <cellStyle name="標準 20" xfId="745" xr:uid="{00000000-0005-0000-0000-0000DC020000}"/>
    <cellStyle name="標準 21" xfId="746" xr:uid="{00000000-0005-0000-0000-0000DD020000}"/>
    <cellStyle name="標準 22" xfId="747" xr:uid="{00000000-0005-0000-0000-0000DE020000}"/>
    <cellStyle name="標準 23" xfId="748" xr:uid="{00000000-0005-0000-0000-0000DF020000}"/>
    <cellStyle name="標準 24" xfId="749" xr:uid="{00000000-0005-0000-0000-0000E0020000}"/>
    <cellStyle name="標準 25" xfId="46" xr:uid="{00000000-0005-0000-0000-0000E1020000}"/>
    <cellStyle name="標準 25 2" xfId="750" xr:uid="{00000000-0005-0000-0000-0000E2020000}"/>
    <cellStyle name="標準 26" xfId="751" xr:uid="{00000000-0005-0000-0000-0000E3020000}"/>
    <cellStyle name="標準 27" xfId="752" xr:uid="{00000000-0005-0000-0000-0000E4020000}"/>
    <cellStyle name="標準 28" xfId="753" xr:uid="{00000000-0005-0000-0000-0000E5020000}"/>
    <cellStyle name="標準 29" xfId="754" xr:uid="{00000000-0005-0000-0000-0000E6020000}"/>
    <cellStyle name="標準 3" xfId="2" xr:uid="{00000000-0005-0000-0000-0000E7020000}"/>
    <cellStyle name="標準 3 2" xfId="52" xr:uid="{00000000-0005-0000-0000-0000E8020000}"/>
    <cellStyle name="標準 3 2 2" xfId="56" xr:uid="{00000000-0005-0000-0000-0000E9020000}"/>
    <cellStyle name="標準 3 2 2 2" xfId="770" xr:uid="{00000000-0005-0000-0000-0000EA020000}"/>
    <cellStyle name="標準 3 2 3" xfId="54" xr:uid="{00000000-0005-0000-0000-0000EB020000}"/>
    <cellStyle name="標準 3 2 3 2" xfId="768" xr:uid="{00000000-0005-0000-0000-0000EC020000}"/>
    <cellStyle name="標準 3 2 4" xfId="58" xr:uid="{00000000-0005-0000-0000-0000ED020000}"/>
    <cellStyle name="標準 3 2 4 2" xfId="772" xr:uid="{00000000-0005-0000-0000-0000EE020000}"/>
    <cellStyle name="標準 3 2 5" xfId="766" xr:uid="{00000000-0005-0000-0000-0000EF020000}"/>
    <cellStyle name="標準 3 3" xfId="55" xr:uid="{00000000-0005-0000-0000-0000F0020000}"/>
    <cellStyle name="標準 3 3 2" xfId="769" xr:uid="{00000000-0005-0000-0000-0000F1020000}"/>
    <cellStyle name="標準 3 4" xfId="53" xr:uid="{00000000-0005-0000-0000-0000F2020000}"/>
    <cellStyle name="標準 3 4 2" xfId="767" xr:uid="{00000000-0005-0000-0000-0000F3020000}"/>
    <cellStyle name="標準 3 5" xfId="57" xr:uid="{00000000-0005-0000-0000-0000F4020000}"/>
    <cellStyle name="標準 3 5 2" xfId="771" xr:uid="{00000000-0005-0000-0000-0000F5020000}"/>
    <cellStyle name="標準 3 6" xfId="51" xr:uid="{00000000-0005-0000-0000-0000F6020000}"/>
    <cellStyle name="標準 3 6 2" xfId="765" xr:uid="{00000000-0005-0000-0000-0000F7020000}"/>
    <cellStyle name="標準 3 7" xfId="755" xr:uid="{00000000-0005-0000-0000-0000F8020000}"/>
    <cellStyle name="標準 30" xfId="756" xr:uid="{00000000-0005-0000-0000-0000F9020000}"/>
    <cellStyle name="標準 31" xfId="59" xr:uid="{00000000-0005-0000-0000-0000FA020000}"/>
    <cellStyle name="標準 32" xfId="773" xr:uid="{00000000-0005-0000-0000-0000FB020000}"/>
    <cellStyle name="標準 4" xfId="49" xr:uid="{00000000-0005-0000-0000-0000FC020000}"/>
    <cellStyle name="標準 4 2" xfId="757" xr:uid="{00000000-0005-0000-0000-0000FD020000}"/>
    <cellStyle name="標準 5" xfId="758" xr:uid="{00000000-0005-0000-0000-0000FE020000}"/>
    <cellStyle name="標準 6" xfId="759" xr:uid="{00000000-0005-0000-0000-0000FF020000}"/>
    <cellStyle name="標準 7" xfId="760" xr:uid="{00000000-0005-0000-0000-000000030000}"/>
    <cellStyle name="標準 8" xfId="761" xr:uid="{00000000-0005-0000-0000-000001030000}"/>
    <cellStyle name="標準 9" xfId="762" xr:uid="{00000000-0005-0000-0000-000002030000}"/>
    <cellStyle name="良い 2" xfId="48" xr:uid="{00000000-0005-0000-0000-000003030000}"/>
    <cellStyle name="良い 2 2" xfId="763" xr:uid="{00000000-0005-0000-0000-000004030000}"/>
    <cellStyle name="良い 3" xfId="47" xr:uid="{00000000-0005-0000-0000-000005030000}"/>
  </cellStyles>
  <dxfs count="759">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1035050</xdr:colOff>
          <xdr:row>0</xdr:row>
          <xdr:rowOff>31750</xdr:rowOff>
        </xdr:from>
        <xdr:to>
          <xdr:col>2</xdr:col>
          <xdr:colOff>717550</xdr:colOff>
          <xdr:row>0</xdr:row>
          <xdr:rowOff>292100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色付けiro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0</xdr:row>
          <xdr:rowOff>31750</xdr:rowOff>
        </xdr:from>
        <xdr:to>
          <xdr:col>1</xdr:col>
          <xdr:colOff>1016000</xdr:colOff>
          <xdr:row>0</xdr:row>
          <xdr:rowOff>292100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CSV出力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260350</xdr:colOff>
          <xdr:row>0</xdr:row>
          <xdr:rowOff>31750</xdr:rowOff>
        </xdr:from>
        <xdr:to>
          <xdr:col>1</xdr:col>
          <xdr:colOff>984250</xdr:colOff>
          <xdr:row>0</xdr:row>
          <xdr:rowOff>228600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色付けiro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1035050</xdr:colOff>
          <xdr:row>0</xdr:row>
          <xdr:rowOff>31750</xdr:rowOff>
        </xdr:from>
        <xdr:to>
          <xdr:col>2</xdr:col>
          <xdr:colOff>717550</xdr:colOff>
          <xdr:row>0</xdr:row>
          <xdr:rowOff>292100</xdr:rowOff>
        </xdr:to>
        <xdr:sp macro="" textlink="">
          <xdr:nvSpPr>
            <xdr:cNvPr id="1068" name="Button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色付けiro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0</xdr:row>
          <xdr:rowOff>31750</xdr:rowOff>
        </xdr:from>
        <xdr:to>
          <xdr:col>1</xdr:col>
          <xdr:colOff>1016000</xdr:colOff>
          <xdr:row>0</xdr:row>
          <xdr:rowOff>292100</xdr:rowOff>
        </xdr:to>
        <xdr:sp macro="" textlink="">
          <xdr:nvSpPr>
            <xdr:cNvPr id="1069" name="Button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CSV出力</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1035050</xdr:colOff>
          <xdr:row>0</xdr:row>
          <xdr:rowOff>31750</xdr:rowOff>
        </xdr:from>
        <xdr:to>
          <xdr:col>2</xdr:col>
          <xdr:colOff>717550</xdr:colOff>
          <xdr:row>0</xdr:row>
          <xdr:rowOff>292100</xdr:rowOff>
        </xdr:to>
        <xdr:sp macro="" textlink="">
          <xdr:nvSpPr>
            <xdr:cNvPr id="76801" name="Button 1" hidden="1">
              <a:extLst>
                <a:ext uri="{63B3BB69-23CF-44E3-9099-C40C66FF867C}">
                  <a14:compatExt spid="_x0000_s76801"/>
                </a:ext>
                <a:ext uri="{FF2B5EF4-FFF2-40B4-BE49-F238E27FC236}">
                  <a16:creationId xmlns:a16="http://schemas.microsoft.com/office/drawing/2014/main" id="{00000000-0008-0000-0100-0000012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色付けiro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0</xdr:row>
          <xdr:rowOff>31750</xdr:rowOff>
        </xdr:from>
        <xdr:to>
          <xdr:col>1</xdr:col>
          <xdr:colOff>1016000</xdr:colOff>
          <xdr:row>0</xdr:row>
          <xdr:rowOff>292100</xdr:rowOff>
        </xdr:to>
        <xdr:sp macro="" textlink="">
          <xdr:nvSpPr>
            <xdr:cNvPr id="76802" name="Button 2" hidden="1">
              <a:extLst>
                <a:ext uri="{63B3BB69-23CF-44E3-9099-C40C66FF867C}">
                  <a14:compatExt spid="_x0000_s76802"/>
                </a:ext>
                <a:ext uri="{FF2B5EF4-FFF2-40B4-BE49-F238E27FC236}">
                  <a16:creationId xmlns:a16="http://schemas.microsoft.com/office/drawing/2014/main" id="{00000000-0008-0000-0100-0000022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CSV出力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260350</xdr:colOff>
          <xdr:row>0</xdr:row>
          <xdr:rowOff>31750</xdr:rowOff>
        </xdr:from>
        <xdr:to>
          <xdr:col>1</xdr:col>
          <xdr:colOff>984250</xdr:colOff>
          <xdr:row>0</xdr:row>
          <xdr:rowOff>228600</xdr:rowOff>
        </xdr:to>
        <xdr:sp macro="" textlink="">
          <xdr:nvSpPr>
            <xdr:cNvPr id="76803" name="Button 3" hidden="1">
              <a:extLst>
                <a:ext uri="{63B3BB69-23CF-44E3-9099-C40C66FF867C}">
                  <a14:compatExt spid="_x0000_s76803"/>
                </a:ext>
                <a:ext uri="{FF2B5EF4-FFF2-40B4-BE49-F238E27FC236}">
                  <a16:creationId xmlns:a16="http://schemas.microsoft.com/office/drawing/2014/main" id="{00000000-0008-0000-0100-0000032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色付けiro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1035050</xdr:colOff>
          <xdr:row>0</xdr:row>
          <xdr:rowOff>31750</xdr:rowOff>
        </xdr:from>
        <xdr:to>
          <xdr:col>2</xdr:col>
          <xdr:colOff>717550</xdr:colOff>
          <xdr:row>0</xdr:row>
          <xdr:rowOff>292100</xdr:rowOff>
        </xdr:to>
        <xdr:sp macro="" textlink="">
          <xdr:nvSpPr>
            <xdr:cNvPr id="76804" name="Button 4" hidden="1">
              <a:extLst>
                <a:ext uri="{63B3BB69-23CF-44E3-9099-C40C66FF867C}">
                  <a14:compatExt spid="_x0000_s76804"/>
                </a:ext>
                <a:ext uri="{FF2B5EF4-FFF2-40B4-BE49-F238E27FC236}">
                  <a16:creationId xmlns:a16="http://schemas.microsoft.com/office/drawing/2014/main" id="{00000000-0008-0000-0100-0000042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色付けiro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0</xdr:row>
          <xdr:rowOff>31750</xdr:rowOff>
        </xdr:from>
        <xdr:to>
          <xdr:col>1</xdr:col>
          <xdr:colOff>1016000</xdr:colOff>
          <xdr:row>0</xdr:row>
          <xdr:rowOff>292100</xdr:rowOff>
        </xdr:to>
        <xdr:sp macro="" textlink="">
          <xdr:nvSpPr>
            <xdr:cNvPr id="76805" name="Button 5" hidden="1">
              <a:extLst>
                <a:ext uri="{63B3BB69-23CF-44E3-9099-C40C66FF867C}">
                  <a14:compatExt spid="_x0000_s76805"/>
                </a:ext>
                <a:ext uri="{FF2B5EF4-FFF2-40B4-BE49-F238E27FC236}">
                  <a16:creationId xmlns:a16="http://schemas.microsoft.com/office/drawing/2014/main" id="{00000000-0008-0000-0100-0000052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CSV出力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260350</xdr:colOff>
          <xdr:row>0</xdr:row>
          <xdr:rowOff>31750</xdr:rowOff>
        </xdr:from>
        <xdr:to>
          <xdr:col>1</xdr:col>
          <xdr:colOff>984250</xdr:colOff>
          <xdr:row>0</xdr:row>
          <xdr:rowOff>228600</xdr:rowOff>
        </xdr:to>
        <xdr:sp macro="" textlink="">
          <xdr:nvSpPr>
            <xdr:cNvPr id="76895" name="Button 95" hidden="1">
              <a:extLst>
                <a:ext uri="{63B3BB69-23CF-44E3-9099-C40C66FF867C}">
                  <a14:compatExt spid="_x0000_s76895"/>
                </a:ext>
                <a:ext uri="{FF2B5EF4-FFF2-40B4-BE49-F238E27FC236}">
                  <a16:creationId xmlns:a16="http://schemas.microsoft.com/office/drawing/2014/main" id="{00000000-0008-0000-0100-00005F2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色付けiro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1035050</xdr:colOff>
          <xdr:row>0</xdr:row>
          <xdr:rowOff>31750</xdr:rowOff>
        </xdr:from>
        <xdr:to>
          <xdr:col>2</xdr:col>
          <xdr:colOff>717550</xdr:colOff>
          <xdr:row>0</xdr:row>
          <xdr:rowOff>292100</xdr:rowOff>
        </xdr:to>
        <xdr:sp macro="" textlink="">
          <xdr:nvSpPr>
            <xdr:cNvPr id="76896" name="Button 96" hidden="1">
              <a:extLst>
                <a:ext uri="{63B3BB69-23CF-44E3-9099-C40C66FF867C}">
                  <a14:compatExt spid="_x0000_s76896"/>
                </a:ext>
                <a:ext uri="{FF2B5EF4-FFF2-40B4-BE49-F238E27FC236}">
                  <a16:creationId xmlns:a16="http://schemas.microsoft.com/office/drawing/2014/main" id="{00000000-0008-0000-0100-0000602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色付けiro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0</xdr:row>
          <xdr:rowOff>31750</xdr:rowOff>
        </xdr:from>
        <xdr:to>
          <xdr:col>1</xdr:col>
          <xdr:colOff>1016000</xdr:colOff>
          <xdr:row>0</xdr:row>
          <xdr:rowOff>292100</xdr:rowOff>
        </xdr:to>
        <xdr:sp macro="" textlink="">
          <xdr:nvSpPr>
            <xdr:cNvPr id="76897" name="Button 97" hidden="1">
              <a:extLst>
                <a:ext uri="{63B3BB69-23CF-44E3-9099-C40C66FF867C}">
                  <a14:compatExt spid="_x0000_s76897"/>
                </a:ext>
                <a:ext uri="{FF2B5EF4-FFF2-40B4-BE49-F238E27FC236}">
                  <a16:creationId xmlns:a16="http://schemas.microsoft.com/office/drawing/2014/main" id="{00000000-0008-0000-0100-0000612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CSV出力</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101600</xdr:colOff>
          <xdr:row>7</xdr:row>
          <xdr:rowOff>31750</xdr:rowOff>
        </xdr:from>
        <xdr:to>
          <xdr:col>6</xdr:col>
          <xdr:colOff>25400</xdr:colOff>
          <xdr:row>9</xdr:row>
          <xdr:rowOff>12700</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200-000001D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CSV出力</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260350</xdr:colOff>
          <xdr:row>0</xdr:row>
          <xdr:rowOff>31750</xdr:rowOff>
        </xdr:from>
        <xdr:to>
          <xdr:col>1</xdr:col>
          <xdr:colOff>984250</xdr:colOff>
          <xdr:row>0</xdr:row>
          <xdr:rowOff>228600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色付けiro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1035050</xdr:colOff>
          <xdr:row>0</xdr:row>
          <xdr:rowOff>31750</xdr:rowOff>
        </xdr:from>
        <xdr:to>
          <xdr:col>2</xdr:col>
          <xdr:colOff>717550</xdr:colOff>
          <xdr:row>0</xdr:row>
          <xdr:rowOff>292100</xdr:rowOff>
        </xdr:to>
        <xdr:sp macro="" textlink="">
          <xdr:nvSpPr>
            <xdr:cNvPr id="11289" name="Button 25" hidden="1">
              <a:extLst>
                <a:ext uri="{63B3BB69-23CF-44E3-9099-C40C66FF867C}">
                  <a14:compatExt spid="_x0000_s11289"/>
                </a:ext>
                <a:ext uri="{FF2B5EF4-FFF2-40B4-BE49-F238E27FC236}">
                  <a16:creationId xmlns:a16="http://schemas.microsoft.com/office/drawing/2014/main" id="{00000000-0008-0000-0300-0000192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色付けiro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0</xdr:row>
          <xdr:rowOff>31750</xdr:rowOff>
        </xdr:from>
        <xdr:to>
          <xdr:col>1</xdr:col>
          <xdr:colOff>1016000</xdr:colOff>
          <xdr:row>0</xdr:row>
          <xdr:rowOff>292100</xdr:rowOff>
        </xdr:to>
        <xdr:sp macro="" textlink="">
          <xdr:nvSpPr>
            <xdr:cNvPr id="11290" name="Button 26" hidden="1">
              <a:extLst>
                <a:ext uri="{63B3BB69-23CF-44E3-9099-C40C66FF867C}">
                  <a14:compatExt spid="_x0000_s11290"/>
                </a:ext>
                <a:ext uri="{FF2B5EF4-FFF2-40B4-BE49-F238E27FC236}">
                  <a16:creationId xmlns:a16="http://schemas.microsoft.com/office/drawing/2014/main" id="{00000000-0008-0000-0300-00001A2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CSV出力</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260350</xdr:colOff>
          <xdr:row>0</xdr:row>
          <xdr:rowOff>31750</xdr:rowOff>
        </xdr:from>
        <xdr:to>
          <xdr:col>1</xdr:col>
          <xdr:colOff>984250</xdr:colOff>
          <xdr:row>0</xdr:row>
          <xdr:rowOff>228600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400-0000018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色付けiro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1035050</xdr:colOff>
          <xdr:row>0</xdr:row>
          <xdr:rowOff>31750</xdr:rowOff>
        </xdr:from>
        <xdr:to>
          <xdr:col>2</xdr:col>
          <xdr:colOff>717550</xdr:colOff>
          <xdr:row>0</xdr:row>
          <xdr:rowOff>292100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400-0000028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色付けiro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0</xdr:row>
          <xdr:rowOff>31750</xdr:rowOff>
        </xdr:from>
        <xdr:to>
          <xdr:col>1</xdr:col>
          <xdr:colOff>1016000</xdr:colOff>
          <xdr:row>0</xdr:row>
          <xdr:rowOff>292100</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400-0000038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CSV出力</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101600</xdr:colOff>
          <xdr:row>7</xdr:row>
          <xdr:rowOff>31750</xdr:rowOff>
        </xdr:from>
        <xdr:to>
          <xdr:col>6</xdr:col>
          <xdr:colOff>25400</xdr:colOff>
          <xdr:row>9</xdr:row>
          <xdr:rowOff>12700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0500-000001A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CSV出力</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2</xdr:col>
      <xdr:colOff>198783</xdr:colOff>
      <xdr:row>11</xdr:row>
      <xdr:rowOff>57979</xdr:rowOff>
    </xdr:from>
    <xdr:to>
      <xdr:col>10</xdr:col>
      <xdr:colOff>430696</xdr:colOff>
      <xdr:row>20</xdr:row>
      <xdr:rowOff>33132</xdr:rowOff>
    </xdr:to>
    <xdr:sp macro="" textlink="">
      <xdr:nvSpPr>
        <xdr:cNvPr id="2" name="テキスト ボックス 1">
          <a:extLst>
            <a:ext uri="{FF2B5EF4-FFF2-40B4-BE49-F238E27FC236}">
              <a16:creationId xmlns:a16="http://schemas.microsoft.com/office/drawing/2014/main" id="{00000000-0008-0000-0600-000002000000}"/>
            </a:ext>
          </a:extLst>
        </xdr:cNvPr>
        <xdr:cNvSpPr txBox="1"/>
      </xdr:nvSpPr>
      <xdr:spPr>
        <a:xfrm>
          <a:off x="1880153" y="2112066"/>
          <a:ext cx="7404652" cy="12423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kumimoji="1" lang="en-US" altLang="ja-JP" sz="1100"/>
            <a:t>xq-bl3-tc-cam#</a:t>
          </a:r>
          <a:r>
            <a:rPr kumimoji="1" lang="ja-JP" altLang="en-US" sz="1100"/>
            <a:t>とカメラの対応は、時々刻々変わるため、</a:t>
          </a:r>
          <a:endParaRPr kumimoji="1" lang="en-US" altLang="ja-JP" sz="1100"/>
        </a:p>
        <a:p>
          <a:r>
            <a:rPr kumimoji="1" lang="en-US" altLang="ja-JP" sz="1100"/>
            <a:t>GUI</a:t>
          </a:r>
          <a:r>
            <a:rPr kumimoji="1" lang="ja-JP" altLang="en-US" sz="1100"/>
            <a:t>では</a:t>
          </a:r>
          <a:endParaRPr kumimoji="1" lang="en-US" altLang="ja-JP" sz="1100"/>
        </a:p>
        <a:p>
          <a:r>
            <a:rPr kumimoji="1" lang="ja-JP" altLang="en-US" sz="1100"/>
            <a:t>カメラ選択時に</a:t>
          </a:r>
          <a:r>
            <a:rPr kumimoji="1" lang="en-US" altLang="ja-JP" sz="1100">
              <a:solidFill>
                <a:schemeClr val="dk1"/>
              </a:solidFill>
              <a:latin typeface="+mn-lt"/>
              <a:ea typeface="+mn-ea"/>
              <a:cs typeface="+mn-cs"/>
            </a:rPr>
            <a:t>sprintf(send,"put/xfel_mon_scm_exp_ema_connect_host/%s.daq.xfel.cntl.local",SCMIF[n].cname);</a:t>
          </a:r>
          <a:r>
            <a:rPr kumimoji="1" lang="ja-JP" altLang="en-US" sz="1100">
              <a:solidFill>
                <a:schemeClr val="dk1"/>
              </a:solidFill>
              <a:latin typeface="+mn-lt"/>
              <a:ea typeface="+mn-ea"/>
              <a:cs typeface="+mn-cs"/>
            </a:rPr>
            <a:t>をしてから、</a:t>
          </a:r>
          <a:endParaRPr kumimoji="1" lang="en-US" altLang="ja-JP" sz="1100">
            <a:solidFill>
              <a:schemeClr val="dk1"/>
            </a:solidFill>
            <a:latin typeface="+mn-lt"/>
            <a:ea typeface="+mn-ea"/>
            <a:cs typeface="+mn-cs"/>
          </a:endParaRPr>
        </a:p>
        <a:p>
          <a:r>
            <a:rPr kumimoji="1" lang="en-US" altLang="ja-JP" sz="1100"/>
            <a:t>strcpy(send,"get/xfel_mon_scm_exp_ema/camera_name");</a:t>
          </a:r>
        </a:p>
        <a:p>
          <a:r>
            <a:rPr kumimoji="1" lang="ja-JP" altLang="en-US" sz="1100"/>
            <a:t>をして、カメラ名を求め</a:t>
          </a:r>
          <a:r>
            <a:rPr kumimoji="1" lang="ja-JP" altLang="en-US" sz="1100">
              <a:solidFill>
                <a:schemeClr val="dk1"/>
              </a:solidFill>
              <a:latin typeface="+mn-lt"/>
              <a:ea typeface="+mn-ea"/>
              <a:cs typeface="+mn-cs"/>
            </a:rPr>
            <a:t>る。</a:t>
          </a:r>
          <a:endParaRPr kumimoji="1" lang="en-US" altLang="ja-JP" sz="1100">
            <a:solidFill>
              <a:schemeClr val="dk1"/>
            </a:solidFill>
            <a:latin typeface="+mn-lt"/>
            <a:ea typeface="+mn-ea"/>
            <a:cs typeface="+mn-cs"/>
          </a:endParaRPr>
        </a:p>
        <a:p>
          <a:r>
            <a:rPr kumimoji="1" lang="en-US" altLang="ja-JP" sz="1100"/>
            <a:t>CCD_Type</a:t>
          </a:r>
          <a:r>
            <a:rPr kumimoji="1" lang="ja-JP" altLang="en-US" sz="1100"/>
            <a:t>も切り替えるまで分からないので、</a:t>
          </a:r>
          <a:r>
            <a:rPr kumimoji="1" lang="en-US" altLang="ja-JP" sz="1100"/>
            <a:t>tbl_run</a:t>
          </a:r>
          <a:r>
            <a:rPr kumimoji="1" lang="ja-JP" altLang="en-US" sz="1100"/>
            <a:t>の</a:t>
          </a:r>
          <a:r>
            <a:rPr kumimoji="1" lang="en-US" altLang="ja-JP" sz="1100"/>
            <a:t>size_x,y</a:t>
          </a:r>
          <a:r>
            <a:rPr kumimoji="1" lang="ja-JP" altLang="en-US" sz="1100"/>
            <a:t>から画像サイズの大きさを求める</a:t>
          </a:r>
          <a:endParaRPr kumimoji="1" lang="en-US" altLang="ja-JP" sz="1100"/>
        </a:p>
      </xdr:txBody>
    </xdr:sp>
    <xdr:clientData/>
  </xdr:twoCellAnchor>
  <xdr:twoCellAnchor>
    <xdr:from>
      <xdr:col>1</xdr:col>
      <xdr:colOff>621196</xdr:colOff>
      <xdr:row>0</xdr:row>
      <xdr:rowOff>430696</xdr:rowOff>
    </xdr:from>
    <xdr:to>
      <xdr:col>1</xdr:col>
      <xdr:colOff>1051891</xdr:colOff>
      <xdr:row>0</xdr:row>
      <xdr:rowOff>612913</xdr:rowOff>
    </xdr:to>
    <xdr:sp macro="" textlink="">
      <xdr:nvSpPr>
        <xdr:cNvPr id="3" name="テキスト ボックス 2">
          <a:extLst>
            <a:ext uri="{FF2B5EF4-FFF2-40B4-BE49-F238E27FC236}">
              <a16:creationId xmlns:a16="http://schemas.microsoft.com/office/drawing/2014/main" id="{00000000-0008-0000-0600-000003000000}"/>
            </a:ext>
          </a:extLst>
        </xdr:cNvPr>
        <xdr:cNvSpPr txBox="1"/>
      </xdr:nvSpPr>
      <xdr:spPr>
        <a:xfrm>
          <a:off x="1151283" y="430696"/>
          <a:ext cx="430695" cy="1822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kumimoji="1" lang="ja-JP" altLang="en-US" sz="800"/>
            <a:t>仮名</a:t>
          </a:r>
          <a:endParaRPr kumimoji="1" lang="en-US" altLang="ja-JP" sz="8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139700</xdr:colOff>
          <xdr:row>0</xdr:row>
          <xdr:rowOff>234950</xdr:rowOff>
        </xdr:to>
        <xdr:sp macro="" textlink="">
          <xdr:nvSpPr>
            <xdr:cNvPr id="3073" name="CommandButton2"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425450</xdr:colOff>
          <xdr:row>79</xdr:row>
          <xdr:rowOff>120650</xdr:rowOff>
        </xdr:from>
        <xdr:to>
          <xdr:col>3</xdr:col>
          <xdr:colOff>190500</xdr:colOff>
          <xdr:row>87</xdr:row>
          <xdr:rowOff>114300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色</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139700</xdr:colOff>
          <xdr:row>0</xdr:row>
          <xdr:rowOff>234950</xdr:rowOff>
        </xdr:to>
        <xdr:sp macro="" textlink="">
          <xdr:nvSpPr>
            <xdr:cNvPr id="9217" name="CommandButton2"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482600</xdr:colOff>
          <xdr:row>55</xdr:row>
          <xdr:rowOff>101600</xdr:rowOff>
        </xdr:from>
        <xdr:to>
          <xdr:col>3</xdr:col>
          <xdr:colOff>768350</xdr:colOff>
          <xdr:row>57</xdr:row>
          <xdr:rowOff>120650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色</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1035050</xdr:colOff>
          <xdr:row>0</xdr:row>
          <xdr:rowOff>31750</xdr:rowOff>
        </xdr:from>
        <xdr:to>
          <xdr:col>2</xdr:col>
          <xdr:colOff>717550</xdr:colOff>
          <xdr:row>0</xdr:row>
          <xdr:rowOff>292100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800-0000015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色付けiro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0</xdr:row>
          <xdr:rowOff>31750</xdr:rowOff>
        </xdr:from>
        <xdr:to>
          <xdr:col>1</xdr:col>
          <xdr:colOff>1016000</xdr:colOff>
          <xdr:row>0</xdr:row>
          <xdr:rowOff>292100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800-0000025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CSV出力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260350</xdr:colOff>
          <xdr:row>0</xdr:row>
          <xdr:rowOff>31750</xdr:rowOff>
        </xdr:from>
        <xdr:to>
          <xdr:col>1</xdr:col>
          <xdr:colOff>984250</xdr:colOff>
          <xdr:row>0</xdr:row>
          <xdr:rowOff>228600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800-0000035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色付けiro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1035050</xdr:colOff>
          <xdr:row>0</xdr:row>
          <xdr:rowOff>31750</xdr:rowOff>
        </xdr:from>
        <xdr:to>
          <xdr:col>2</xdr:col>
          <xdr:colOff>717550</xdr:colOff>
          <xdr:row>0</xdr:row>
          <xdr:rowOff>292100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800-0000045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色付けiro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0</xdr:row>
          <xdr:rowOff>31750</xdr:rowOff>
        </xdr:from>
        <xdr:to>
          <xdr:col>1</xdr:col>
          <xdr:colOff>1016000</xdr:colOff>
          <xdr:row>0</xdr:row>
          <xdr:rowOff>292100</xdr:rowOff>
        </xdr:to>
        <xdr:sp macro="" textlink="">
          <xdr:nvSpPr>
            <xdr:cNvPr id="21509" name="Button 5" hidden="1">
              <a:extLst>
                <a:ext uri="{63B3BB69-23CF-44E3-9099-C40C66FF867C}">
                  <a14:compatExt spid="_x0000_s21509"/>
                </a:ext>
                <a:ext uri="{FF2B5EF4-FFF2-40B4-BE49-F238E27FC236}">
                  <a16:creationId xmlns:a16="http://schemas.microsoft.com/office/drawing/2014/main" id="{00000000-0008-0000-0800-0000055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CSV出力</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260350</xdr:colOff>
          <xdr:row>0</xdr:row>
          <xdr:rowOff>31750</xdr:rowOff>
        </xdr:from>
        <xdr:to>
          <xdr:col>1</xdr:col>
          <xdr:colOff>984250</xdr:colOff>
          <xdr:row>0</xdr:row>
          <xdr:rowOff>228600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900-0000017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色付けiro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1035050</xdr:colOff>
          <xdr:row>0</xdr:row>
          <xdr:rowOff>31750</xdr:rowOff>
        </xdr:from>
        <xdr:to>
          <xdr:col>2</xdr:col>
          <xdr:colOff>717550</xdr:colOff>
          <xdr:row>0</xdr:row>
          <xdr:rowOff>292100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900-0000027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色付けiro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0</xdr:row>
          <xdr:rowOff>31750</xdr:rowOff>
        </xdr:from>
        <xdr:to>
          <xdr:col>1</xdr:col>
          <xdr:colOff>1016000</xdr:colOff>
          <xdr:row>0</xdr:row>
          <xdr:rowOff>292100</xdr:rowOff>
        </xdr:to>
        <xdr:sp macro="" textlink="">
          <xdr:nvSpPr>
            <xdr:cNvPr id="31747" name="Button 3" hidden="1">
              <a:extLst>
                <a:ext uri="{63B3BB69-23CF-44E3-9099-C40C66FF867C}">
                  <a14:compatExt spid="_x0000_s31747"/>
                </a:ext>
                <a:ext uri="{FF2B5EF4-FFF2-40B4-BE49-F238E27FC236}">
                  <a16:creationId xmlns:a16="http://schemas.microsoft.com/office/drawing/2014/main" id="{00000000-0008-0000-0900-0000037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CSV出力</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260350</xdr:colOff>
          <xdr:row>0</xdr:row>
          <xdr:rowOff>31750</xdr:rowOff>
        </xdr:from>
        <xdr:to>
          <xdr:col>1</xdr:col>
          <xdr:colOff>984250</xdr:colOff>
          <xdr:row>0</xdr:row>
          <xdr:rowOff>228600</xdr:rowOff>
        </xdr:to>
        <xdr:sp macro="" textlink="">
          <xdr:nvSpPr>
            <xdr:cNvPr id="70657" name="Button 1" hidden="1">
              <a:extLst>
                <a:ext uri="{63B3BB69-23CF-44E3-9099-C40C66FF867C}">
                  <a14:compatExt spid="_x0000_s70657"/>
                </a:ext>
                <a:ext uri="{FF2B5EF4-FFF2-40B4-BE49-F238E27FC236}">
                  <a16:creationId xmlns:a16="http://schemas.microsoft.com/office/drawing/2014/main" id="{00000000-0008-0000-0A00-00000114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色付けiro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1035050</xdr:colOff>
          <xdr:row>0</xdr:row>
          <xdr:rowOff>31750</xdr:rowOff>
        </xdr:from>
        <xdr:to>
          <xdr:col>2</xdr:col>
          <xdr:colOff>717550</xdr:colOff>
          <xdr:row>0</xdr:row>
          <xdr:rowOff>292100</xdr:rowOff>
        </xdr:to>
        <xdr:sp macro="" textlink="">
          <xdr:nvSpPr>
            <xdr:cNvPr id="70658" name="Button 2" hidden="1">
              <a:extLst>
                <a:ext uri="{63B3BB69-23CF-44E3-9099-C40C66FF867C}">
                  <a14:compatExt spid="_x0000_s70658"/>
                </a:ext>
                <a:ext uri="{FF2B5EF4-FFF2-40B4-BE49-F238E27FC236}">
                  <a16:creationId xmlns:a16="http://schemas.microsoft.com/office/drawing/2014/main" id="{00000000-0008-0000-0A00-00000214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色付けiro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0</xdr:row>
          <xdr:rowOff>31750</xdr:rowOff>
        </xdr:from>
        <xdr:to>
          <xdr:col>1</xdr:col>
          <xdr:colOff>1016000</xdr:colOff>
          <xdr:row>0</xdr:row>
          <xdr:rowOff>292100</xdr:rowOff>
        </xdr:to>
        <xdr:sp macro="" textlink="">
          <xdr:nvSpPr>
            <xdr:cNvPr id="70659" name="Button 3" hidden="1">
              <a:extLst>
                <a:ext uri="{63B3BB69-23CF-44E3-9099-C40C66FF867C}">
                  <a14:compatExt spid="_x0000_s70659"/>
                </a:ext>
                <a:ext uri="{FF2B5EF4-FFF2-40B4-BE49-F238E27FC236}">
                  <a16:creationId xmlns:a16="http://schemas.microsoft.com/office/drawing/2014/main" id="{00000000-0008-0000-0A00-00000314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CSV出力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260350</xdr:colOff>
          <xdr:row>0</xdr:row>
          <xdr:rowOff>31750</xdr:rowOff>
        </xdr:from>
        <xdr:to>
          <xdr:col>1</xdr:col>
          <xdr:colOff>984250</xdr:colOff>
          <xdr:row>0</xdr:row>
          <xdr:rowOff>228600</xdr:rowOff>
        </xdr:to>
        <xdr:sp macro="" textlink="">
          <xdr:nvSpPr>
            <xdr:cNvPr id="70687" name="Button 31" hidden="1">
              <a:extLst>
                <a:ext uri="{63B3BB69-23CF-44E3-9099-C40C66FF867C}">
                  <a14:compatExt spid="_x0000_s70687"/>
                </a:ext>
                <a:ext uri="{FF2B5EF4-FFF2-40B4-BE49-F238E27FC236}">
                  <a16:creationId xmlns:a16="http://schemas.microsoft.com/office/drawing/2014/main" id="{00000000-0008-0000-0A00-00001F14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色付けiro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1035050</xdr:colOff>
          <xdr:row>0</xdr:row>
          <xdr:rowOff>31750</xdr:rowOff>
        </xdr:from>
        <xdr:to>
          <xdr:col>2</xdr:col>
          <xdr:colOff>717550</xdr:colOff>
          <xdr:row>0</xdr:row>
          <xdr:rowOff>292100</xdr:rowOff>
        </xdr:to>
        <xdr:sp macro="" textlink="">
          <xdr:nvSpPr>
            <xdr:cNvPr id="70688" name="Button 32" hidden="1">
              <a:extLst>
                <a:ext uri="{63B3BB69-23CF-44E3-9099-C40C66FF867C}">
                  <a14:compatExt spid="_x0000_s70688"/>
                </a:ext>
                <a:ext uri="{FF2B5EF4-FFF2-40B4-BE49-F238E27FC236}">
                  <a16:creationId xmlns:a16="http://schemas.microsoft.com/office/drawing/2014/main" id="{00000000-0008-0000-0A00-00002014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色付けiro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0</xdr:row>
          <xdr:rowOff>31750</xdr:rowOff>
        </xdr:from>
        <xdr:to>
          <xdr:col>1</xdr:col>
          <xdr:colOff>1016000</xdr:colOff>
          <xdr:row>0</xdr:row>
          <xdr:rowOff>292100</xdr:rowOff>
        </xdr:to>
        <xdr:sp macro="" textlink="">
          <xdr:nvSpPr>
            <xdr:cNvPr id="70689" name="Button 33" hidden="1">
              <a:extLst>
                <a:ext uri="{63B3BB69-23CF-44E3-9099-C40C66FF867C}">
                  <a14:compatExt spid="_x0000_s70689"/>
                </a:ext>
                <a:ext uri="{FF2B5EF4-FFF2-40B4-BE49-F238E27FC236}">
                  <a16:creationId xmlns:a16="http://schemas.microsoft.com/office/drawing/2014/main" id="{00000000-0008-0000-0A00-00002114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CSV出力</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101600</xdr:colOff>
          <xdr:row>7</xdr:row>
          <xdr:rowOff>31750</xdr:rowOff>
        </xdr:from>
        <xdr:to>
          <xdr:col>6</xdr:col>
          <xdr:colOff>25400</xdr:colOff>
          <xdr:row>9</xdr:row>
          <xdr:rowOff>12700</xdr:rowOff>
        </xdr:to>
        <xdr:sp macro="" textlink="">
          <xdr:nvSpPr>
            <xdr:cNvPr id="52225" name="Button 1" hidden="1">
              <a:extLst>
                <a:ext uri="{63B3BB69-23CF-44E3-9099-C40C66FF867C}">
                  <a14:compatExt spid="_x0000_s52225"/>
                </a:ext>
                <a:ext uri="{FF2B5EF4-FFF2-40B4-BE49-F238E27FC236}">
                  <a16:creationId xmlns:a16="http://schemas.microsoft.com/office/drawing/2014/main" id="{00000000-0008-0000-0B00-000001C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CSV出力</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260350</xdr:colOff>
          <xdr:row>0</xdr:row>
          <xdr:rowOff>31750</xdr:rowOff>
        </xdr:from>
        <xdr:to>
          <xdr:col>1</xdr:col>
          <xdr:colOff>984250</xdr:colOff>
          <xdr:row>0</xdr:row>
          <xdr:rowOff>228600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0F00-00000128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色付けiro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1035050</xdr:colOff>
          <xdr:row>0</xdr:row>
          <xdr:rowOff>31750</xdr:rowOff>
        </xdr:from>
        <xdr:to>
          <xdr:col>2</xdr:col>
          <xdr:colOff>0</xdr:colOff>
          <xdr:row>0</xdr:row>
          <xdr:rowOff>292100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0F00-00000228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色付けiro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0</xdr:row>
          <xdr:rowOff>31750</xdr:rowOff>
        </xdr:from>
        <xdr:to>
          <xdr:col>1</xdr:col>
          <xdr:colOff>1016000</xdr:colOff>
          <xdr:row>0</xdr:row>
          <xdr:rowOff>292100</xdr:rowOff>
        </xdr:to>
        <xdr:sp macro="" textlink="">
          <xdr:nvSpPr>
            <xdr:cNvPr id="75779" name="Button 3" hidden="1">
              <a:extLst>
                <a:ext uri="{63B3BB69-23CF-44E3-9099-C40C66FF867C}">
                  <a14:compatExt spid="_x0000_s75779"/>
                </a:ext>
                <a:ext uri="{FF2B5EF4-FFF2-40B4-BE49-F238E27FC236}">
                  <a16:creationId xmlns:a16="http://schemas.microsoft.com/office/drawing/2014/main" id="{00000000-0008-0000-0F00-00000328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ＭＳ Ｐゴシック"/>
                  <a:ea typeface="ＭＳ Ｐゴシック"/>
                </a:rPr>
                <a:t>CSV出力</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3.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hyperlink" Target="http://xfweb-dmz-03.spring8.or.jp/cgi-bin/MDAQ/mdaq_data.py?sig_id=706074&amp;format=plot" TargetMode="External"/><Relationship Id="rId7" Type="http://schemas.openxmlformats.org/officeDocument/2006/relationships/vmlDrawing" Target="../drawings/vmlDrawing5.vml"/><Relationship Id="rId2" Type="http://schemas.openxmlformats.org/officeDocument/2006/relationships/hyperlink" Target="http://xfweb-dmz-03.spring8.or.jp/cgi-bin/MDAQ/mdaq_data.py?sig_id=706066&amp;format=plot" TargetMode="External"/><Relationship Id="rId1" Type="http://schemas.openxmlformats.org/officeDocument/2006/relationships/hyperlink" Target="http://xfweb-dmz-03.spring8.or.jp/cgi-bin/MDAQ/mdaq_data.py?sig_id=706070&amp;format=plot" TargetMode="External"/><Relationship Id="rId6" Type="http://schemas.openxmlformats.org/officeDocument/2006/relationships/drawing" Target="../drawings/drawing5.xml"/><Relationship Id="rId11" Type="http://schemas.openxmlformats.org/officeDocument/2006/relationships/comments" Target="../comments4.xml"/><Relationship Id="rId5" Type="http://schemas.openxmlformats.org/officeDocument/2006/relationships/printerSettings" Target="../printerSettings/printerSettings4.bin"/><Relationship Id="rId10" Type="http://schemas.openxmlformats.org/officeDocument/2006/relationships/ctrlProp" Target="../ctrlProps/ctrlProp20.xml"/><Relationship Id="rId4" Type="http://schemas.openxmlformats.org/officeDocument/2006/relationships/hyperlink" Target="http://xfweb-dmz-03.spring8.or.jp/cgi-bin/MDAQ/mdaq_data.py?sig_id=706007&amp;format=plot" TargetMode="External"/><Relationship Id="rId9" Type="http://schemas.openxmlformats.org/officeDocument/2006/relationships/ctrlProp" Target="../ctrlProps/ctrlProp19.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22.xml"/><Relationship Id="rId5" Type="http://schemas.openxmlformats.org/officeDocument/2006/relationships/image" Target="../media/image1.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omments" Target="../comments5.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ctrlProp" Target="../ctrlProps/ctrlProp23.xml"/><Relationship Id="rId5" Type="http://schemas.openxmlformats.org/officeDocument/2006/relationships/image" Target="../media/image2.emf"/><Relationship Id="rId4" Type="http://schemas.openxmlformats.org/officeDocument/2006/relationships/control" Target="../activeX/activeX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8.xml"/><Relationship Id="rId3" Type="http://schemas.openxmlformats.org/officeDocument/2006/relationships/vmlDrawing" Target="../drawings/vmlDrawing9.vml"/><Relationship Id="rId7" Type="http://schemas.openxmlformats.org/officeDocument/2006/relationships/ctrlProp" Target="../ctrlProps/ctrlProp27.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 Id="rId9"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omments" Target="../comments7.x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vmlDrawing" Target="../drawings/vmlDrawing11.vml"/><Relationship Id="rId7" Type="http://schemas.openxmlformats.org/officeDocument/2006/relationships/ctrlProp" Target="../ctrlProps/ctrlProp35.xml"/><Relationship Id="rId2" Type="http://schemas.openxmlformats.org/officeDocument/2006/relationships/drawing" Target="../drawings/drawing11.xml"/><Relationship Id="rId1" Type="http://schemas.openxmlformats.org/officeDocument/2006/relationships/printerSettings" Target="../printerSettings/printerSettings9.bin"/><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8.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3.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5.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comments" Target="../comments12.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B101"/>
  <sheetViews>
    <sheetView zoomScale="115" zoomScaleNormal="115" workbookViewId="0">
      <pane xSplit="2" ySplit="1" topLeftCell="AV22" activePane="bottomRight" state="frozen"/>
      <selection pane="topRight" activeCell="C1" sqref="C1"/>
      <selection pane="bottomLeft" activeCell="A2" sqref="A2"/>
      <selection pane="bottomRight" activeCell="AV1" sqref="AV1"/>
    </sheetView>
  </sheetViews>
  <sheetFormatPr defaultColWidth="9.33203125" defaultRowHeight="12"/>
  <cols>
    <col min="1" max="1" width="9.33203125" style="8"/>
    <col min="2" max="2" width="34.33203125" style="32" customWidth="1"/>
    <col min="3" max="3" width="20.109375" style="32" customWidth="1"/>
    <col min="4" max="4" width="19" style="32" customWidth="1"/>
    <col min="5" max="5" width="22.88671875" style="32" customWidth="1"/>
    <col min="6" max="6" width="13" style="8" customWidth="1"/>
    <col min="7" max="7" width="13.6640625" style="8" customWidth="1"/>
    <col min="8" max="8" width="13.88671875" style="8" customWidth="1"/>
    <col min="9" max="9" width="15" style="8" customWidth="1"/>
    <col min="10" max="10" width="14.33203125" style="8" customWidth="1"/>
    <col min="11" max="11" width="16.109375" style="8" customWidth="1"/>
    <col min="12" max="14" width="9.33203125" style="8"/>
    <col min="15" max="15" width="14.6640625" style="8" customWidth="1"/>
    <col min="16" max="17" width="9.33203125" style="8"/>
    <col min="18" max="18" width="28" style="8" customWidth="1"/>
    <col min="19" max="19" width="9.33203125" style="8"/>
    <col min="20" max="20" width="20" style="8" customWidth="1"/>
    <col min="21" max="21" width="20.44140625" style="8" customWidth="1"/>
    <col min="22" max="22" width="26" style="8" customWidth="1"/>
    <col min="23" max="23" width="9.33203125" style="8" customWidth="1"/>
    <col min="24" max="28" width="14.88671875" style="8" customWidth="1"/>
    <col min="29" max="29" width="12.33203125" style="8" customWidth="1"/>
    <col min="30" max="30" width="15.33203125" style="8" customWidth="1"/>
    <col min="31" max="31" width="16.33203125" style="8" customWidth="1"/>
    <col min="32" max="34" width="9.33203125" style="8"/>
    <col min="35" max="35" width="38.21875" style="8" customWidth="1"/>
    <col min="36" max="36" width="39" style="8" customWidth="1"/>
    <col min="37" max="37" width="21" style="8" customWidth="1"/>
    <col min="38" max="38" width="30" style="8" customWidth="1"/>
    <col min="39" max="39" width="27.109375" style="8" customWidth="1"/>
    <col min="40" max="40" width="9.33203125" style="8"/>
    <col min="41" max="41" width="15.44140625" style="8" customWidth="1"/>
    <col min="42" max="42" width="16.33203125" style="8" customWidth="1"/>
    <col min="43" max="43" width="21.88671875" style="8" customWidth="1"/>
    <col min="44" max="44" width="21.6640625" style="8" customWidth="1"/>
    <col min="45" max="45" width="14.109375" style="8" customWidth="1"/>
    <col min="46" max="51" width="9.33203125" style="8"/>
    <col min="52" max="52" width="45.88671875" style="8" customWidth="1"/>
    <col min="53" max="16384" width="9.33203125" style="8"/>
  </cols>
  <sheetData>
    <row r="1" spans="1:52" s="129" customFormat="1" ht="63.75" customHeight="1" thickBot="1">
      <c r="A1" s="128" t="s">
        <v>337</v>
      </c>
      <c r="B1" s="128" t="s">
        <v>338</v>
      </c>
      <c r="C1" s="128" t="s">
        <v>105</v>
      </c>
      <c r="D1" s="128" t="s">
        <v>339</v>
      </c>
      <c r="E1" s="128" t="s">
        <v>352</v>
      </c>
      <c r="F1" s="128" t="s">
        <v>513</v>
      </c>
      <c r="G1" s="128" t="s">
        <v>356</v>
      </c>
      <c r="H1" s="128" t="s">
        <v>358</v>
      </c>
      <c r="I1" s="128" t="s">
        <v>6</v>
      </c>
      <c r="J1" s="128" t="s">
        <v>701</v>
      </c>
      <c r="K1" s="128" t="s">
        <v>702</v>
      </c>
      <c r="L1" s="128" t="s">
        <v>8</v>
      </c>
      <c r="M1" s="128" t="s">
        <v>9</v>
      </c>
      <c r="N1" s="128" t="s">
        <v>10</v>
      </c>
      <c r="O1" s="128" t="s">
        <v>11</v>
      </c>
      <c r="P1" s="128" t="s">
        <v>381</v>
      </c>
      <c r="Q1" s="128" t="s">
        <v>875</v>
      </c>
      <c r="R1" s="128" t="s">
        <v>879</v>
      </c>
      <c r="S1" s="128" t="s">
        <v>342</v>
      </c>
      <c r="T1" s="128" t="s">
        <v>967</v>
      </c>
      <c r="U1" s="128" t="s">
        <v>969</v>
      </c>
      <c r="V1" s="128" t="s">
        <v>984</v>
      </c>
      <c r="W1" s="128" t="s">
        <v>346</v>
      </c>
      <c r="X1" s="128" t="s">
        <v>21</v>
      </c>
      <c r="Y1" s="128" t="s">
        <v>377</v>
      </c>
      <c r="Z1" s="128" t="s">
        <v>23</v>
      </c>
      <c r="AA1" s="128" t="s">
        <v>24</v>
      </c>
      <c r="AB1" s="128" t="s">
        <v>25</v>
      </c>
      <c r="AC1" s="128" t="s">
        <v>390</v>
      </c>
      <c r="AD1" s="128" t="s">
        <v>391</v>
      </c>
      <c r="AE1" s="128" t="s">
        <v>392</v>
      </c>
      <c r="AF1" s="128" t="s">
        <v>347</v>
      </c>
      <c r="AG1" s="128" t="s">
        <v>348</v>
      </c>
      <c r="AH1" s="128" t="s">
        <v>350</v>
      </c>
      <c r="AI1" s="128" t="s">
        <v>1063</v>
      </c>
      <c r="AJ1" s="128" t="s">
        <v>1071</v>
      </c>
      <c r="AK1" s="128" t="s">
        <v>1072</v>
      </c>
      <c r="AL1" s="128" t="s">
        <v>1079</v>
      </c>
      <c r="AM1" s="128" t="s">
        <v>1084</v>
      </c>
      <c r="AN1" s="128" t="s">
        <v>331</v>
      </c>
      <c r="AO1" s="128" t="s">
        <v>332</v>
      </c>
      <c r="AP1" s="128" t="s">
        <v>333</v>
      </c>
      <c r="AQ1" s="128" t="s">
        <v>389</v>
      </c>
      <c r="AR1" s="128" t="s">
        <v>233</v>
      </c>
      <c r="AS1" s="128" t="s">
        <v>774</v>
      </c>
      <c r="AT1" s="128" t="s">
        <v>775</v>
      </c>
      <c r="AU1" s="128" t="s">
        <v>994</v>
      </c>
      <c r="AV1" s="128" t="s">
        <v>1385</v>
      </c>
      <c r="AW1" s="128" t="s">
        <v>156</v>
      </c>
      <c r="AX1" s="128" t="s">
        <v>157</v>
      </c>
      <c r="AY1" s="128" t="s">
        <v>158</v>
      </c>
      <c r="AZ1" s="128" t="s">
        <v>327</v>
      </c>
    </row>
    <row r="2" spans="1:52" ht="12.5" thickTop="1">
      <c r="A2" s="43" t="s">
        <v>26</v>
      </c>
      <c r="B2" s="29" t="s">
        <v>724</v>
      </c>
      <c r="C2" s="29" t="s">
        <v>27</v>
      </c>
      <c r="D2" s="29"/>
      <c r="E2" s="29" t="s">
        <v>28</v>
      </c>
      <c r="F2" s="43" t="s">
        <v>29</v>
      </c>
      <c r="G2" s="43"/>
      <c r="H2" s="43"/>
      <c r="I2" s="43" t="s">
        <v>30</v>
      </c>
      <c r="J2" s="43">
        <v>17.559999999999999</v>
      </c>
      <c r="K2" s="43"/>
      <c r="L2" s="43">
        <v>314</v>
      </c>
      <c r="M2" s="43">
        <v>276</v>
      </c>
      <c r="N2" s="43"/>
      <c r="O2" s="43"/>
      <c r="P2" s="43">
        <v>5</v>
      </c>
      <c r="Q2" s="43" t="s">
        <v>1103</v>
      </c>
      <c r="R2" s="173" t="s">
        <v>1114</v>
      </c>
      <c r="S2" s="43"/>
      <c r="T2" s="173"/>
      <c r="U2" s="174" t="s">
        <v>1120</v>
      </c>
      <c r="V2" s="173" t="s">
        <v>1121</v>
      </c>
      <c r="W2" s="43"/>
      <c r="X2" s="43">
        <v>1</v>
      </c>
      <c r="Y2" s="43"/>
      <c r="Z2" s="43"/>
      <c r="AA2" s="43"/>
      <c r="AB2" s="43"/>
      <c r="AC2" s="43"/>
      <c r="AD2" s="43"/>
      <c r="AE2" s="43"/>
      <c r="AF2" s="18"/>
      <c r="AG2" s="18"/>
      <c r="AH2" s="18"/>
      <c r="AI2" s="18" t="s">
        <v>1099</v>
      </c>
      <c r="AJ2" s="18" t="s">
        <v>1100</v>
      </c>
      <c r="AK2" s="18"/>
      <c r="AL2" s="173" t="s">
        <v>1101</v>
      </c>
      <c r="AM2" s="173" t="s">
        <v>1102</v>
      </c>
      <c r="AN2" s="18">
        <v>1</v>
      </c>
      <c r="AO2" s="18">
        <v>1</v>
      </c>
      <c r="AP2" s="18">
        <v>1</v>
      </c>
      <c r="AQ2" s="18"/>
      <c r="AR2" s="18"/>
      <c r="AS2" s="18"/>
      <c r="AT2" s="18"/>
      <c r="AU2" s="18"/>
      <c r="AV2" s="18"/>
      <c r="AW2" s="18"/>
      <c r="AX2" s="18"/>
      <c r="AY2" s="18"/>
      <c r="AZ2" s="43"/>
    </row>
    <row r="3" spans="1:52">
      <c r="A3" s="43" t="s">
        <v>26</v>
      </c>
      <c r="B3" s="29" t="s">
        <v>178</v>
      </c>
      <c r="C3" s="29" t="s">
        <v>31</v>
      </c>
      <c r="D3" s="29"/>
      <c r="E3" s="29" t="s">
        <v>28</v>
      </c>
      <c r="F3" s="43" t="s">
        <v>29</v>
      </c>
      <c r="G3" s="43"/>
      <c r="H3" s="43"/>
      <c r="I3" s="43" t="s">
        <v>30</v>
      </c>
      <c r="J3" s="43">
        <v>18.38</v>
      </c>
      <c r="K3" s="43"/>
      <c r="L3" s="43">
        <v>354</v>
      </c>
      <c r="M3" s="43">
        <v>299</v>
      </c>
      <c r="N3" s="43"/>
      <c r="O3" s="43"/>
      <c r="P3" s="43">
        <v>5</v>
      </c>
      <c r="Q3" s="173" t="s">
        <v>1103</v>
      </c>
      <c r="R3" s="173" t="s">
        <v>1115</v>
      </c>
      <c r="S3" s="43"/>
      <c r="T3" s="43"/>
      <c r="U3" s="174" t="s">
        <v>1122</v>
      </c>
      <c r="V3" s="173" t="s">
        <v>1123</v>
      </c>
      <c r="W3" s="43"/>
      <c r="X3" s="43">
        <v>1</v>
      </c>
      <c r="Y3" s="43"/>
      <c r="Z3" s="43"/>
      <c r="AA3" s="43"/>
      <c r="AB3" s="43"/>
      <c r="AC3" s="43"/>
      <c r="AD3" s="43"/>
      <c r="AE3" s="43"/>
      <c r="AF3" s="18"/>
      <c r="AG3" s="18"/>
      <c r="AH3" s="18"/>
      <c r="AI3" s="18" t="s">
        <v>1104</v>
      </c>
      <c r="AJ3" s="18" t="s">
        <v>1105</v>
      </c>
      <c r="AK3" s="18"/>
      <c r="AL3" s="173" t="s">
        <v>1106</v>
      </c>
      <c r="AM3" s="173" t="s">
        <v>1107</v>
      </c>
      <c r="AN3" s="18">
        <v>1</v>
      </c>
      <c r="AO3" s="18">
        <v>1</v>
      </c>
      <c r="AP3" s="18">
        <v>1</v>
      </c>
      <c r="AQ3" s="18"/>
      <c r="AR3" s="18"/>
      <c r="AS3" s="18"/>
      <c r="AT3" s="18"/>
      <c r="AU3" s="18"/>
      <c r="AV3" s="18"/>
      <c r="AW3" s="18"/>
      <c r="AX3" s="18"/>
      <c r="AY3" s="18"/>
      <c r="AZ3" s="43"/>
    </row>
    <row r="4" spans="1:52">
      <c r="A4" s="43" t="s">
        <v>26</v>
      </c>
      <c r="B4" s="29" t="s">
        <v>179</v>
      </c>
      <c r="C4" s="29" t="s">
        <v>32</v>
      </c>
      <c r="D4" s="29"/>
      <c r="E4" s="29" t="s">
        <v>28</v>
      </c>
      <c r="F4" s="43" t="s">
        <v>29</v>
      </c>
      <c r="G4" s="43"/>
      <c r="H4" s="43"/>
      <c r="I4" s="43" t="s">
        <v>30</v>
      </c>
      <c r="J4" s="43">
        <v>18.36</v>
      </c>
      <c r="K4" s="43"/>
      <c r="L4" s="43">
        <v>398</v>
      </c>
      <c r="M4" s="43">
        <v>275</v>
      </c>
      <c r="N4" s="43"/>
      <c r="O4" s="43"/>
      <c r="P4" s="43">
        <v>5</v>
      </c>
      <c r="Q4" s="173" t="s">
        <v>1103</v>
      </c>
      <c r="R4" s="43"/>
      <c r="S4" s="43"/>
      <c r="T4" s="43"/>
      <c r="U4" s="43"/>
      <c r="V4" s="43"/>
      <c r="W4" s="43"/>
      <c r="X4" s="43">
        <v>1</v>
      </c>
      <c r="Y4" s="43"/>
      <c r="Z4" s="43"/>
      <c r="AA4" s="43"/>
      <c r="AB4" s="43"/>
      <c r="AC4" s="43"/>
      <c r="AD4" s="43"/>
      <c r="AE4" s="43"/>
      <c r="AF4" s="18"/>
      <c r="AG4" s="18"/>
      <c r="AH4" s="18"/>
      <c r="AI4" s="18"/>
      <c r="AJ4" s="18"/>
      <c r="AK4" s="18"/>
      <c r="AL4" s="18"/>
      <c r="AM4" s="18"/>
      <c r="AN4" s="18">
        <v>1</v>
      </c>
      <c r="AO4" s="18">
        <v>1</v>
      </c>
      <c r="AP4" s="18">
        <v>1</v>
      </c>
      <c r="AQ4" s="18"/>
      <c r="AR4" s="18"/>
      <c r="AS4" s="18"/>
      <c r="AT4" s="18"/>
      <c r="AU4" s="18"/>
      <c r="AV4" s="18"/>
      <c r="AW4" s="18"/>
      <c r="AX4" s="18"/>
      <c r="AY4" s="18"/>
      <c r="AZ4" s="43"/>
    </row>
    <row r="5" spans="1:52">
      <c r="A5" s="43" t="s">
        <v>26</v>
      </c>
      <c r="B5" s="29" t="s">
        <v>180</v>
      </c>
      <c r="C5" s="29" t="s">
        <v>33</v>
      </c>
      <c r="D5" s="29"/>
      <c r="E5" s="29" t="s">
        <v>28</v>
      </c>
      <c r="F5" s="43" t="s">
        <v>29</v>
      </c>
      <c r="G5" s="43" t="s">
        <v>34</v>
      </c>
      <c r="H5" s="43">
        <v>1</v>
      </c>
      <c r="I5" s="43" t="s">
        <v>30</v>
      </c>
      <c r="J5" s="43">
        <v>18.77</v>
      </c>
      <c r="K5" s="43"/>
      <c r="L5" s="43">
        <v>391</v>
      </c>
      <c r="M5" s="43">
        <v>290</v>
      </c>
      <c r="N5" s="43"/>
      <c r="O5" s="43"/>
      <c r="P5" s="43">
        <v>5</v>
      </c>
      <c r="Q5" s="173" t="s">
        <v>1103</v>
      </c>
      <c r="R5" s="43"/>
      <c r="S5" s="43"/>
      <c r="T5" s="43"/>
      <c r="U5" s="43"/>
      <c r="V5" s="43"/>
      <c r="W5" s="43"/>
      <c r="X5" s="43"/>
      <c r="Y5" s="43"/>
      <c r="Z5" s="43"/>
      <c r="AA5" s="43"/>
      <c r="AB5" s="43"/>
      <c r="AC5" s="43"/>
      <c r="AD5" s="43"/>
      <c r="AE5" s="43"/>
      <c r="AF5" s="18"/>
      <c r="AG5" s="18"/>
      <c r="AH5" s="18"/>
      <c r="AI5" s="18"/>
      <c r="AJ5" s="18"/>
      <c r="AK5" s="18"/>
      <c r="AL5" s="18"/>
      <c r="AM5" s="18"/>
      <c r="AN5" s="18">
        <v>1</v>
      </c>
      <c r="AO5" s="18">
        <v>1</v>
      </c>
      <c r="AP5" s="18">
        <v>1</v>
      </c>
      <c r="AQ5" s="18"/>
      <c r="AR5" s="18"/>
      <c r="AS5" s="18"/>
      <c r="AT5" s="18"/>
      <c r="AU5" s="18"/>
      <c r="AV5" s="18"/>
      <c r="AW5" s="18"/>
      <c r="AX5" s="18"/>
      <c r="AY5" s="18"/>
      <c r="AZ5" s="43"/>
    </row>
    <row r="6" spans="1:52">
      <c r="A6" s="43" t="s">
        <v>26</v>
      </c>
      <c r="B6" s="29" t="s">
        <v>181</v>
      </c>
      <c r="C6" s="29" t="s">
        <v>35</v>
      </c>
      <c r="D6" s="29"/>
      <c r="E6" s="29" t="s">
        <v>36</v>
      </c>
      <c r="F6" s="43" t="s">
        <v>500</v>
      </c>
      <c r="G6" s="43" t="s">
        <v>34</v>
      </c>
      <c r="H6" s="43">
        <v>1</v>
      </c>
      <c r="I6" s="43" t="s">
        <v>30</v>
      </c>
      <c r="J6" s="43">
        <v>18.48</v>
      </c>
      <c r="K6" s="43"/>
      <c r="L6" s="43">
        <v>387</v>
      </c>
      <c r="M6" s="43">
        <v>280</v>
      </c>
      <c r="N6" s="43"/>
      <c r="O6" s="43"/>
      <c r="P6" s="43">
        <v>5</v>
      </c>
      <c r="Q6" s="173" t="s">
        <v>1103</v>
      </c>
      <c r="R6" s="43"/>
      <c r="S6" s="43"/>
      <c r="T6" s="43"/>
      <c r="U6" s="43"/>
      <c r="V6" s="43"/>
      <c r="W6" s="43"/>
      <c r="X6" s="43">
        <v>1</v>
      </c>
      <c r="Y6" s="43"/>
      <c r="Z6" s="43"/>
      <c r="AA6" s="43"/>
      <c r="AB6" s="43"/>
      <c r="AC6" s="43"/>
      <c r="AD6" s="43"/>
      <c r="AE6" s="43"/>
      <c r="AF6" s="18"/>
      <c r="AG6" s="18"/>
      <c r="AH6" s="18"/>
      <c r="AI6" s="18"/>
      <c r="AJ6" s="18"/>
      <c r="AK6" s="18"/>
      <c r="AL6" s="18"/>
      <c r="AM6" s="18"/>
      <c r="AN6" s="18">
        <v>1</v>
      </c>
      <c r="AO6" s="18">
        <v>1</v>
      </c>
      <c r="AP6" s="18">
        <v>1</v>
      </c>
      <c r="AQ6" s="18"/>
      <c r="AR6" s="18"/>
      <c r="AS6" s="18"/>
      <c r="AT6" s="18"/>
      <c r="AU6" s="18"/>
      <c r="AV6" s="18"/>
      <c r="AW6" s="18"/>
      <c r="AX6" s="18"/>
      <c r="AY6" s="18"/>
      <c r="AZ6" s="43"/>
    </row>
    <row r="7" spans="1:52">
      <c r="A7" s="39" t="s">
        <v>26</v>
      </c>
      <c r="B7" s="45" t="s">
        <v>182</v>
      </c>
      <c r="C7" s="27" t="s">
        <v>37</v>
      </c>
      <c r="D7" s="27"/>
      <c r="E7" s="27" t="s">
        <v>36</v>
      </c>
      <c r="F7" s="39" t="s">
        <v>29</v>
      </c>
      <c r="G7" s="39"/>
      <c r="H7" s="39"/>
      <c r="I7" s="39" t="s">
        <v>169</v>
      </c>
      <c r="J7" s="39">
        <v>35.71</v>
      </c>
      <c r="K7" s="39"/>
      <c r="L7" s="39">
        <v>723</v>
      </c>
      <c r="M7" s="39">
        <v>570</v>
      </c>
      <c r="N7" s="39"/>
      <c r="O7" s="39"/>
      <c r="P7" s="39">
        <v>5</v>
      </c>
      <c r="Q7" s="173" t="s">
        <v>1103</v>
      </c>
      <c r="R7" s="39"/>
      <c r="S7" s="39"/>
      <c r="T7" s="39"/>
      <c r="U7" s="39"/>
      <c r="V7" s="39"/>
      <c r="W7" s="39"/>
      <c r="X7" s="39"/>
      <c r="Y7" s="39"/>
      <c r="Z7" s="39"/>
      <c r="AA7" s="39"/>
      <c r="AB7" s="39"/>
      <c r="AC7" s="39"/>
      <c r="AD7" s="39"/>
      <c r="AE7" s="39"/>
      <c r="AF7" s="10"/>
      <c r="AG7" s="10"/>
      <c r="AH7" s="10"/>
      <c r="AI7" s="10"/>
      <c r="AJ7" s="10"/>
      <c r="AK7" s="10"/>
      <c r="AL7" s="10"/>
      <c r="AM7" s="10"/>
      <c r="AN7" s="10">
        <v>1</v>
      </c>
      <c r="AO7" s="10">
        <v>1</v>
      </c>
      <c r="AP7" s="10">
        <v>1</v>
      </c>
      <c r="AQ7" s="10"/>
      <c r="AR7" s="10"/>
      <c r="AS7" s="10"/>
      <c r="AT7" s="10"/>
      <c r="AU7" s="10"/>
      <c r="AV7" s="10"/>
      <c r="AW7" s="10"/>
      <c r="AX7" s="10"/>
      <c r="AY7" s="10"/>
      <c r="AZ7" s="39"/>
    </row>
    <row r="8" spans="1:52">
      <c r="A8" s="43" t="s">
        <v>26</v>
      </c>
      <c r="B8" s="29" t="s">
        <v>183</v>
      </c>
      <c r="C8" s="29" t="s">
        <v>39</v>
      </c>
      <c r="D8" s="29"/>
      <c r="E8" s="29" t="s">
        <v>36</v>
      </c>
      <c r="F8" s="43" t="s">
        <v>500</v>
      </c>
      <c r="G8" s="43"/>
      <c r="H8" s="43"/>
      <c r="I8" s="43" t="s">
        <v>30</v>
      </c>
      <c r="J8" s="43">
        <v>18.62</v>
      </c>
      <c r="K8" s="43"/>
      <c r="L8" s="43">
        <v>369</v>
      </c>
      <c r="M8" s="43">
        <v>289</v>
      </c>
      <c r="N8" s="43"/>
      <c r="O8" s="43"/>
      <c r="P8" s="43">
        <v>5</v>
      </c>
      <c r="Q8" s="173" t="s">
        <v>1103</v>
      </c>
      <c r="R8" s="43"/>
      <c r="S8" s="43"/>
      <c r="T8" s="43"/>
      <c r="U8" s="43"/>
      <c r="V8" s="43"/>
      <c r="W8" s="43"/>
      <c r="X8" s="43"/>
      <c r="Y8" s="43"/>
      <c r="Z8" s="43"/>
      <c r="AA8" s="43">
        <v>1</v>
      </c>
      <c r="AB8" s="43"/>
      <c r="AC8" s="43"/>
      <c r="AD8" s="43"/>
      <c r="AE8" s="43"/>
      <c r="AF8" s="18"/>
      <c r="AG8" s="18"/>
      <c r="AH8" s="18"/>
      <c r="AI8" s="18"/>
      <c r="AJ8" s="18"/>
      <c r="AK8" s="18"/>
      <c r="AL8" s="18"/>
      <c r="AM8" s="18"/>
      <c r="AN8" s="18">
        <v>1</v>
      </c>
      <c r="AO8" s="18">
        <v>1</v>
      </c>
      <c r="AP8" s="18">
        <v>1</v>
      </c>
      <c r="AQ8" s="18"/>
      <c r="AR8" s="18"/>
      <c r="AS8" s="18"/>
      <c r="AT8" s="18"/>
      <c r="AU8" s="18"/>
      <c r="AV8" s="18"/>
      <c r="AW8" s="18"/>
      <c r="AX8" s="18"/>
      <c r="AY8" s="18"/>
      <c r="AZ8" s="43" t="s">
        <v>40</v>
      </c>
    </row>
    <row r="9" spans="1:52">
      <c r="A9" s="43" t="s">
        <v>26</v>
      </c>
      <c r="B9" s="29" t="s">
        <v>184</v>
      </c>
      <c r="C9" s="29" t="s">
        <v>41</v>
      </c>
      <c r="D9" s="29"/>
      <c r="E9" s="29" t="s">
        <v>42</v>
      </c>
      <c r="F9" s="43"/>
      <c r="G9" s="43" t="s">
        <v>34</v>
      </c>
      <c r="H9" s="43">
        <v>2</v>
      </c>
      <c r="I9" s="43" t="s">
        <v>30</v>
      </c>
      <c r="J9" s="43">
        <v>19.07</v>
      </c>
      <c r="K9" s="43"/>
      <c r="L9" s="43">
        <v>347</v>
      </c>
      <c r="M9" s="43">
        <v>283</v>
      </c>
      <c r="N9" s="43"/>
      <c r="O9" s="43"/>
      <c r="P9" s="43">
        <v>5</v>
      </c>
      <c r="Q9" s="173" t="s">
        <v>1103</v>
      </c>
      <c r="R9" s="43"/>
      <c r="S9" s="43"/>
      <c r="T9" s="43"/>
      <c r="U9" s="43"/>
      <c r="V9" s="43"/>
      <c r="W9" s="43"/>
      <c r="X9" s="43"/>
      <c r="Y9" s="43"/>
      <c r="Z9" s="43"/>
      <c r="AA9" s="43"/>
      <c r="AB9" s="43"/>
      <c r="AC9" s="43"/>
      <c r="AD9" s="43"/>
      <c r="AE9" s="43"/>
      <c r="AF9" s="18"/>
      <c r="AG9" s="18"/>
      <c r="AH9" s="18"/>
      <c r="AI9" s="18"/>
      <c r="AJ9" s="18"/>
      <c r="AK9" s="18"/>
      <c r="AL9" s="18"/>
      <c r="AM9" s="18"/>
      <c r="AN9" s="18">
        <v>1</v>
      </c>
      <c r="AO9" s="18">
        <v>1</v>
      </c>
      <c r="AP9" s="18">
        <v>1</v>
      </c>
      <c r="AQ9" s="18"/>
      <c r="AR9" s="18"/>
      <c r="AS9" s="18"/>
      <c r="AT9" s="18"/>
      <c r="AU9" s="18"/>
      <c r="AV9" s="18"/>
      <c r="AW9" s="18"/>
      <c r="AX9" s="18"/>
      <c r="AY9" s="18"/>
      <c r="AZ9" s="43"/>
    </row>
    <row r="10" spans="1:52">
      <c r="A10" s="43" t="s">
        <v>26</v>
      </c>
      <c r="B10" s="29" t="s">
        <v>185</v>
      </c>
      <c r="C10" s="29" t="s">
        <v>43</v>
      </c>
      <c r="D10" s="29"/>
      <c r="E10" s="29" t="s">
        <v>44</v>
      </c>
      <c r="F10" s="43"/>
      <c r="G10" s="43" t="s">
        <v>34</v>
      </c>
      <c r="H10" s="43">
        <v>2</v>
      </c>
      <c r="I10" s="43" t="s">
        <v>30</v>
      </c>
      <c r="J10" s="43">
        <v>19.07</v>
      </c>
      <c r="K10" s="43"/>
      <c r="L10" s="43">
        <v>392</v>
      </c>
      <c r="M10" s="43">
        <v>296</v>
      </c>
      <c r="N10" s="43"/>
      <c r="O10" s="43"/>
      <c r="P10" s="43">
        <v>5</v>
      </c>
      <c r="Q10" s="173" t="s">
        <v>1103</v>
      </c>
      <c r="R10" s="43"/>
      <c r="S10" s="43"/>
      <c r="T10" s="43"/>
      <c r="U10" s="43"/>
      <c r="V10" s="43"/>
      <c r="W10" s="43"/>
      <c r="X10" s="43"/>
      <c r="Y10" s="43"/>
      <c r="Z10" s="43"/>
      <c r="AA10" s="43"/>
      <c r="AB10" s="43"/>
      <c r="AC10" s="43"/>
      <c r="AD10" s="43"/>
      <c r="AE10" s="43"/>
      <c r="AF10" s="18"/>
      <c r="AG10" s="18"/>
      <c r="AH10" s="18"/>
      <c r="AI10" s="18"/>
      <c r="AJ10" s="18"/>
      <c r="AK10" s="18"/>
      <c r="AL10" s="18"/>
      <c r="AM10" s="18"/>
      <c r="AN10" s="18">
        <v>1</v>
      </c>
      <c r="AO10" s="18">
        <v>1</v>
      </c>
      <c r="AP10" s="18">
        <v>1</v>
      </c>
      <c r="AQ10" s="18"/>
      <c r="AR10" s="18"/>
      <c r="AS10" s="18"/>
      <c r="AT10" s="18"/>
      <c r="AU10" s="18"/>
      <c r="AV10" s="18"/>
      <c r="AW10" s="18"/>
      <c r="AX10" s="18"/>
      <c r="AY10" s="18"/>
      <c r="AZ10" s="43"/>
    </row>
    <row r="11" spans="1:52">
      <c r="A11" s="43" t="s">
        <v>26</v>
      </c>
      <c r="B11" s="29" t="s">
        <v>186</v>
      </c>
      <c r="C11" s="29" t="s">
        <v>45</v>
      </c>
      <c r="D11" s="29"/>
      <c r="E11" s="29" t="s">
        <v>46</v>
      </c>
      <c r="F11" s="43" t="s">
        <v>34</v>
      </c>
      <c r="G11" s="43"/>
      <c r="H11" s="43"/>
      <c r="I11" s="43" t="s">
        <v>30</v>
      </c>
      <c r="J11" s="43">
        <v>18.82</v>
      </c>
      <c r="K11" s="43"/>
      <c r="L11" s="43">
        <v>346</v>
      </c>
      <c r="M11" s="43">
        <v>291</v>
      </c>
      <c r="N11" s="43"/>
      <c r="O11" s="43"/>
      <c r="P11" s="43">
        <v>5</v>
      </c>
      <c r="Q11" s="173" t="s">
        <v>1103</v>
      </c>
      <c r="R11" s="43"/>
      <c r="S11" s="43"/>
      <c r="T11" s="43"/>
      <c r="U11" s="43"/>
      <c r="V11" s="43"/>
      <c r="W11" s="43"/>
      <c r="X11" s="43"/>
      <c r="Y11" s="43"/>
      <c r="Z11" s="43"/>
      <c r="AA11" s="43"/>
      <c r="AB11" s="43"/>
      <c r="AC11" s="43"/>
      <c r="AD11" s="43"/>
      <c r="AE11" s="43"/>
      <c r="AF11" s="18"/>
      <c r="AG11" s="18"/>
      <c r="AH11" s="18"/>
      <c r="AI11" s="18"/>
      <c r="AJ11" s="18"/>
      <c r="AK11" s="18"/>
      <c r="AL11" s="18"/>
      <c r="AM11" s="18"/>
      <c r="AN11" s="18">
        <v>1</v>
      </c>
      <c r="AO11" s="18">
        <v>1</v>
      </c>
      <c r="AP11" s="18">
        <v>1</v>
      </c>
      <c r="AQ11" s="18"/>
      <c r="AR11" s="18"/>
      <c r="AS11" s="18"/>
      <c r="AT11" s="18"/>
      <c r="AU11" s="18"/>
      <c r="AV11" s="18"/>
      <c r="AW11" s="18"/>
      <c r="AX11" s="18"/>
      <c r="AY11" s="18"/>
      <c r="AZ11" s="43"/>
    </row>
    <row r="12" spans="1:52">
      <c r="A12" s="39" t="s">
        <v>26</v>
      </c>
      <c r="B12" s="27" t="s">
        <v>187</v>
      </c>
      <c r="C12" s="27" t="s">
        <v>47</v>
      </c>
      <c r="D12" s="27"/>
      <c r="E12" s="27" t="s">
        <v>46</v>
      </c>
      <c r="F12" s="39" t="s">
        <v>34</v>
      </c>
      <c r="G12" s="39"/>
      <c r="H12" s="39"/>
      <c r="I12" s="39" t="s">
        <v>38</v>
      </c>
      <c r="J12" s="39">
        <v>37.94</v>
      </c>
      <c r="K12" s="39"/>
      <c r="L12" s="39">
        <v>695</v>
      </c>
      <c r="M12" s="39">
        <v>540</v>
      </c>
      <c r="N12" s="39"/>
      <c r="O12" s="39"/>
      <c r="P12" s="39">
        <v>5</v>
      </c>
      <c r="Q12" s="173" t="s">
        <v>1103</v>
      </c>
      <c r="R12" s="39"/>
      <c r="S12" s="39"/>
      <c r="T12" s="39"/>
      <c r="U12" s="39"/>
      <c r="V12" s="39"/>
      <c r="W12" s="39"/>
      <c r="X12" s="39"/>
      <c r="Y12" s="39"/>
      <c r="Z12" s="39"/>
      <c r="AA12" s="39"/>
      <c r="AB12" s="39"/>
      <c r="AC12" s="39"/>
      <c r="AD12" s="39"/>
      <c r="AE12" s="39"/>
      <c r="AF12" s="10"/>
      <c r="AG12" s="10"/>
      <c r="AH12" s="10"/>
      <c r="AI12" s="10"/>
      <c r="AJ12" s="10"/>
      <c r="AK12" s="10"/>
      <c r="AL12" s="10"/>
      <c r="AM12" s="10"/>
      <c r="AN12" s="10">
        <v>1</v>
      </c>
      <c r="AO12" s="10">
        <v>1</v>
      </c>
      <c r="AP12" s="10">
        <v>1</v>
      </c>
      <c r="AQ12" s="10"/>
      <c r="AR12" s="10"/>
      <c r="AS12" s="10"/>
      <c r="AT12" s="10"/>
      <c r="AU12" s="10"/>
      <c r="AV12" s="10"/>
      <c r="AW12" s="10"/>
      <c r="AX12" s="10"/>
      <c r="AY12" s="10"/>
      <c r="AZ12" s="39"/>
    </row>
    <row r="13" spans="1:52">
      <c r="A13" s="39" t="s">
        <v>26</v>
      </c>
      <c r="B13" s="27" t="s">
        <v>188</v>
      </c>
      <c r="C13" s="27" t="s">
        <v>48</v>
      </c>
      <c r="D13" s="27"/>
      <c r="E13" s="27" t="s">
        <v>46</v>
      </c>
      <c r="F13" s="39" t="s">
        <v>34</v>
      </c>
      <c r="G13" s="39"/>
      <c r="H13" s="39"/>
      <c r="I13" s="39" t="s">
        <v>38</v>
      </c>
      <c r="J13" s="39">
        <v>6.08</v>
      </c>
      <c r="K13" s="39"/>
      <c r="L13" s="39">
        <v>724</v>
      </c>
      <c r="M13" s="39">
        <v>463</v>
      </c>
      <c r="N13" s="39"/>
      <c r="O13" s="39"/>
      <c r="P13" s="39">
        <v>5</v>
      </c>
      <c r="Q13" s="173" t="s">
        <v>1103</v>
      </c>
      <c r="R13" s="39"/>
      <c r="S13" s="39"/>
      <c r="T13" s="39"/>
      <c r="U13" s="39"/>
      <c r="V13" s="39"/>
      <c r="W13" s="39"/>
      <c r="X13" s="39"/>
      <c r="Y13" s="39"/>
      <c r="Z13" s="39"/>
      <c r="AA13" s="39">
        <v>1</v>
      </c>
      <c r="AB13" s="39"/>
      <c r="AC13" s="39"/>
      <c r="AD13" s="39">
        <v>1</v>
      </c>
      <c r="AE13" s="39">
        <v>1</v>
      </c>
      <c r="AF13" s="10">
        <v>396.87799999999999</v>
      </c>
      <c r="AG13" s="10">
        <v>170</v>
      </c>
      <c r="AH13" s="10"/>
      <c r="AI13" s="10"/>
      <c r="AJ13" s="10"/>
      <c r="AK13" s="10"/>
      <c r="AL13" s="10"/>
      <c r="AM13" s="10"/>
      <c r="AN13" s="10">
        <v>1</v>
      </c>
      <c r="AO13" s="10">
        <v>1</v>
      </c>
      <c r="AP13" s="10">
        <v>1</v>
      </c>
      <c r="AQ13" s="10"/>
      <c r="AR13" s="10"/>
      <c r="AS13" s="10"/>
      <c r="AT13" s="10"/>
      <c r="AU13" s="10"/>
      <c r="AV13" s="10"/>
      <c r="AW13" s="10"/>
      <c r="AX13" s="10"/>
      <c r="AY13" s="10"/>
      <c r="AZ13" s="39"/>
    </row>
    <row r="14" spans="1:52">
      <c r="A14" s="43" t="s">
        <v>26</v>
      </c>
      <c r="B14" s="29" t="s">
        <v>189</v>
      </c>
      <c r="C14" s="29" t="s">
        <v>49</v>
      </c>
      <c r="D14" s="29"/>
      <c r="E14" s="29" t="s">
        <v>50</v>
      </c>
      <c r="F14" s="43" t="s">
        <v>34</v>
      </c>
      <c r="G14" s="43"/>
      <c r="H14" s="43"/>
      <c r="I14" s="43" t="s">
        <v>30</v>
      </c>
      <c r="J14" s="43">
        <v>18.82</v>
      </c>
      <c r="K14" s="43"/>
      <c r="L14" s="43">
        <v>367</v>
      </c>
      <c r="M14" s="43">
        <v>293</v>
      </c>
      <c r="N14" s="43"/>
      <c r="O14" s="43"/>
      <c r="P14" s="43">
        <v>5</v>
      </c>
      <c r="Q14" s="173" t="s">
        <v>1103</v>
      </c>
      <c r="R14" s="43"/>
      <c r="S14" s="43"/>
      <c r="T14" s="43"/>
      <c r="U14" s="43"/>
      <c r="V14" s="43"/>
      <c r="W14" s="43"/>
      <c r="X14" s="43"/>
      <c r="Y14" s="43"/>
      <c r="Z14" s="43"/>
      <c r="AA14" s="43"/>
      <c r="AB14" s="43"/>
      <c r="AC14" s="43"/>
      <c r="AD14" s="43"/>
      <c r="AE14" s="43"/>
      <c r="AF14" s="18"/>
      <c r="AG14" s="18"/>
      <c r="AH14" s="18"/>
      <c r="AI14" s="18"/>
      <c r="AJ14" s="18"/>
      <c r="AK14" s="18"/>
      <c r="AL14" s="18"/>
      <c r="AM14" s="18"/>
      <c r="AN14" s="18">
        <v>1</v>
      </c>
      <c r="AO14" s="18">
        <v>1</v>
      </c>
      <c r="AP14" s="18">
        <v>1</v>
      </c>
      <c r="AQ14" s="18"/>
      <c r="AR14" s="18"/>
      <c r="AS14" s="18"/>
      <c r="AT14" s="18"/>
      <c r="AU14" s="18"/>
      <c r="AV14" s="18"/>
      <c r="AW14" s="18"/>
      <c r="AX14" s="18"/>
      <c r="AY14" s="18"/>
      <c r="AZ14" s="43"/>
    </row>
    <row r="15" spans="1:52">
      <c r="A15" s="43" t="s">
        <v>26</v>
      </c>
      <c r="B15" s="29" t="s">
        <v>190</v>
      </c>
      <c r="C15" s="29" t="s">
        <v>51</v>
      </c>
      <c r="D15" s="29"/>
      <c r="E15" s="29" t="s">
        <v>52</v>
      </c>
      <c r="F15" s="43" t="s">
        <v>34</v>
      </c>
      <c r="G15" s="43"/>
      <c r="H15" s="43"/>
      <c r="I15" s="43" t="s">
        <v>30</v>
      </c>
      <c r="J15" s="43">
        <v>19.07</v>
      </c>
      <c r="K15" s="43"/>
      <c r="L15" s="43">
        <v>339</v>
      </c>
      <c r="M15" s="43">
        <v>287</v>
      </c>
      <c r="N15" s="43"/>
      <c r="O15" s="43"/>
      <c r="P15" s="43">
        <v>5</v>
      </c>
      <c r="Q15" s="173" t="s">
        <v>1103</v>
      </c>
      <c r="R15" s="43"/>
      <c r="S15" s="43"/>
      <c r="T15" s="43"/>
      <c r="U15" s="43"/>
      <c r="V15" s="43"/>
      <c r="W15" s="43"/>
      <c r="X15" s="43"/>
      <c r="Y15" s="43"/>
      <c r="Z15" s="43"/>
      <c r="AA15" s="43"/>
      <c r="AB15" s="43"/>
      <c r="AC15" s="43"/>
      <c r="AD15" s="43"/>
      <c r="AE15" s="43"/>
      <c r="AF15" s="18"/>
      <c r="AG15" s="18"/>
      <c r="AH15" s="18"/>
      <c r="AI15" s="18"/>
      <c r="AJ15" s="18"/>
      <c r="AK15" s="18"/>
      <c r="AL15" s="18"/>
      <c r="AM15" s="18"/>
      <c r="AN15" s="18">
        <v>1</v>
      </c>
      <c r="AO15" s="18">
        <v>1</v>
      </c>
      <c r="AP15" s="18">
        <v>1</v>
      </c>
      <c r="AQ15" s="18"/>
      <c r="AR15" s="18"/>
      <c r="AS15" s="18"/>
      <c r="AT15" s="18"/>
      <c r="AU15" s="18"/>
      <c r="AV15" s="18"/>
      <c r="AW15" s="18"/>
      <c r="AX15" s="18"/>
      <c r="AY15" s="18"/>
      <c r="AZ15" s="43"/>
    </row>
    <row r="16" spans="1:52">
      <c r="A16" s="39" t="s">
        <v>26</v>
      </c>
      <c r="B16" s="28" t="s">
        <v>564</v>
      </c>
      <c r="C16" s="28" t="s">
        <v>53</v>
      </c>
      <c r="D16" s="28"/>
      <c r="E16" s="28" t="s">
        <v>52</v>
      </c>
      <c r="F16" s="39" t="s">
        <v>34</v>
      </c>
      <c r="G16" s="39"/>
      <c r="H16" s="39"/>
      <c r="I16" s="39" t="s">
        <v>38</v>
      </c>
      <c r="J16" s="39">
        <v>36.86</v>
      </c>
      <c r="K16" s="39"/>
      <c r="L16" s="39">
        <v>712</v>
      </c>
      <c r="M16" s="39">
        <v>472</v>
      </c>
      <c r="N16" s="39"/>
      <c r="O16" s="39"/>
      <c r="P16" s="39">
        <v>5</v>
      </c>
      <c r="Q16" s="173" t="s">
        <v>1103</v>
      </c>
      <c r="R16" s="39"/>
      <c r="S16" s="39"/>
      <c r="T16" s="39"/>
      <c r="U16" s="39"/>
      <c r="V16" s="39"/>
      <c r="W16" s="39"/>
      <c r="X16" s="39"/>
      <c r="Y16" s="39"/>
      <c r="Z16" s="39"/>
      <c r="AA16" s="39"/>
      <c r="AB16" s="39"/>
      <c r="AC16" s="39"/>
      <c r="AD16" s="39"/>
      <c r="AE16" s="39"/>
      <c r="AF16" s="10"/>
      <c r="AG16" s="10"/>
      <c r="AH16" s="10"/>
      <c r="AI16" s="10"/>
      <c r="AJ16" s="10"/>
      <c r="AK16" s="10"/>
      <c r="AL16" s="10"/>
      <c r="AM16" s="10"/>
      <c r="AN16" s="10">
        <v>1</v>
      </c>
      <c r="AO16" s="10">
        <v>1</v>
      </c>
      <c r="AP16" s="10">
        <v>1</v>
      </c>
      <c r="AQ16" s="10"/>
      <c r="AR16" s="10"/>
      <c r="AS16" s="10"/>
      <c r="AT16" s="10"/>
      <c r="AU16" s="10"/>
      <c r="AV16" s="10"/>
      <c r="AW16" s="10"/>
      <c r="AX16" s="10"/>
      <c r="AY16" s="10"/>
      <c r="AZ16" s="39"/>
    </row>
    <row r="17" spans="1:80">
      <c r="A17" s="40" t="s">
        <v>64</v>
      </c>
      <c r="B17" s="40" t="s">
        <v>191</v>
      </c>
      <c r="C17" s="40" t="s">
        <v>54</v>
      </c>
      <c r="D17" s="40"/>
      <c r="E17" s="40" t="s">
        <v>52</v>
      </c>
      <c r="F17" s="40" t="s">
        <v>500</v>
      </c>
      <c r="G17" s="40" t="s">
        <v>501</v>
      </c>
      <c r="H17" s="40"/>
      <c r="I17" s="40" t="s">
        <v>123</v>
      </c>
      <c r="J17" s="40">
        <v>6.88</v>
      </c>
      <c r="K17" s="40"/>
      <c r="L17" s="40">
        <v>714</v>
      </c>
      <c r="M17" s="40">
        <v>480</v>
      </c>
      <c r="N17" s="40"/>
      <c r="O17" s="40"/>
      <c r="P17" s="40">
        <v>5</v>
      </c>
      <c r="Q17" s="173" t="s">
        <v>1103</v>
      </c>
      <c r="R17" s="40"/>
      <c r="S17" s="40"/>
      <c r="T17" s="40"/>
      <c r="U17" s="40"/>
      <c r="V17" s="40"/>
      <c r="W17" s="40"/>
      <c r="X17" s="40">
        <v>1</v>
      </c>
      <c r="Y17" s="40"/>
      <c r="Z17" s="40"/>
      <c r="AA17" s="40"/>
      <c r="AB17" s="40"/>
      <c r="AC17" s="40"/>
      <c r="AD17" s="40">
        <v>1</v>
      </c>
      <c r="AE17" s="40">
        <v>1</v>
      </c>
      <c r="AF17" s="9">
        <v>396.87799999999999</v>
      </c>
      <c r="AG17" s="9">
        <v>170</v>
      </c>
      <c r="AH17" s="9"/>
      <c r="AI17" s="9"/>
      <c r="AJ17" s="9"/>
      <c r="AK17" s="9"/>
      <c r="AL17" s="9"/>
      <c r="AM17" s="9"/>
      <c r="AN17" s="9">
        <v>1</v>
      </c>
      <c r="AO17" s="9">
        <v>1</v>
      </c>
      <c r="AP17" s="9">
        <v>1</v>
      </c>
      <c r="AQ17" s="9"/>
      <c r="AR17" s="9"/>
      <c r="AS17" s="9"/>
      <c r="AT17" s="9"/>
      <c r="AU17" s="9"/>
      <c r="AV17" s="9"/>
      <c r="AW17" s="9"/>
      <c r="AX17" s="9"/>
      <c r="AY17" s="9"/>
      <c r="AZ17" s="40" t="s">
        <v>125</v>
      </c>
    </row>
    <row r="18" spans="1:80">
      <c r="A18" s="39" t="s">
        <v>26</v>
      </c>
      <c r="B18" s="26" t="s">
        <v>769</v>
      </c>
      <c r="C18" s="26" t="s">
        <v>55</v>
      </c>
      <c r="D18" s="26"/>
      <c r="E18" s="26" t="s">
        <v>56</v>
      </c>
      <c r="F18" s="39" t="s">
        <v>500</v>
      </c>
      <c r="G18" s="39"/>
      <c r="H18" s="39"/>
      <c r="I18" s="39" t="s">
        <v>38</v>
      </c>
      <c r="J18" s="39">
        <v>6.45</v>
      </c>
      <c r="K18" s="39"/>
      <c r="L18" s="39">
        <v>702</v>
      </c>
      <c r="M18" s="39">
        <v>518</v>
      </c>
      <c r="N18" s="39"/>
      <c r="O18" s="39"/>
      <c r="P18" s="39">
        <v>5</v>
      </c>
      <c r="Q18" s="173" t="s">
        <v>1103</v>
      </c>
      <c r="R18" s="39"/>
      <c r="S18" s="39"/>
      <c r="T18" s="39"/>
      <c r="U18" s="39"/>
      <c r="V18" s="39"/>
      <c r="W18" s="39"/>
      <c r="X18" s="39"/>
      <c r="Y18" s="39"/>
      <c r="Z18" s="39"/>
      <c r="AA18" s="39">
        <v>1</v>
      </c>
      <c r="AB18" s="39"/>
      <c r="AC18" s="39"/>
      <c r="AD18" s="39">
        <v>1</v>
      </c>
      <c r="AE18" s="39">
        <v>1</v>
      </c>
      <c r="AF18" s="10">
        <v>388.37799999999999</v>
      </c>
      <c r="AG18" s="10">
        <v>161.5</v>
      </c>
      <c r="AH18" s="10"/>
      <c r="AI18" s="10"/>
      <c r="AJ18" s="10"/>
      <c r="AK18" s="10"/>
      <c r="AL18" s="10"/>
      <c r="AM18" s="10"/>
      <c r="AN18" s="10">
        <v>1</v>
      </c>
      <c r="AO18" s="10">
        <v>1</v>
      </c>
      <c r="AP18" s="10">
        <v>1</v>
      </c>
      <c r="AQ18" s="10"/>
      <c r="AR18" s="10"/>
      <c r="AS18" s="10">
        <v>3687665</v>
      </c>
      <c r="AT18" s="10">
        <v>4</v>
      </c>
      <c r="AU18" s="10"/>
      <c r="AV18" s="10"/>
      <c r="AW18" s="10"/>
      <c r="AX18" s="10"/>
      <c r="AY18" s="10"/>
      <c r="AZ18" s="39" t="s">
        <v>57</v>
      </c>
    </row>
    <row r="19" spans="1:80">
      <c r="A19" s="43" t="s">
        <v>26</v>
      </c>
      <c r="B19" s="29" t="s">
        <v>192</v>
      </c>
      <c r="C19" s="29" t="s">
        <v>58</v>
      </c>
      <c r="D19" s="29"/>
      <c r="E19" s="29" t="s">
        <v>129</v>
      </c>
      <c r="F19" s="43" t="s">
        <v>500</v>
      </c>
      <c r="G19" s="43"/>
      <c r="H19" s="43"/>
      <c r="I19" s="43" t="s">
        <v>30</v>
      </c>
      <c r="J19" s="43">
        <v>18.66</v>
      </c>
      <c r="K19" s="43"/>
      <c r="L19" s="43">
        <v>347</v>
      </c>
      <c r="M19" s="43">
        <v>296</v>
      </c>
      <c r="N19" s="43"/>
      <c r="O19" s="43"/>
      <c r="P19" s="43">
        <v>5</v>
      </c>
      <c r="Q19" s="173" t="s">
        <v>1103</v>
      </c>
      <c r="R19" s="43"/>
      <c r="S19" s="43"/>
      <c r="T19" s="43"/>
      <c r="U19" s="43"/>
      <c r="V19" s="43"/>
      <c r="W19" s="43"/>
      <c r="X19" s="43"/>
      <c r="Y19" s="43"/>
      <c r="Z19" s="43"/>
      <c r="AA19" s="43"/>
      <c r="AB19" s="43"/>
      <c r="AC19" s="43"/>
      <c r="AD19" s="43"/>
      <c r="AE19" s="43"/>
      <c r="AF19" s="18"/>
      <c r="AG19" s="18"/>
      <c r="AH19" s="18"/>
      <c r="AI19" s="18"/>
      <c r="AJ19" s="18"/>
      <c r="AK19" s="18"/>
      <c r="AL19" s="18"/>
      <c r="AM19" s="18"/>
      <c r="AN19" s="18">
        <v>1</v>
      </c>
      <c r="AO19" s="18">
        <v>1</v>
      </c>
      <c r="AP19" s="18">
        <v>1</v>
      </c>
      <c r="AQ19" s="18"/>
      <c r="AR19" s="18"/>
      <c r="AS19" s="18"/>
      <c r="AT19" s="18"/>
      <c r="AU19" s="18"/>
      <c r="AV19" s="18"/>
      <c r="AW19" s="18"/>
      <c r="AX19" s="18"/>
      <c r="AY19" s="18"/>
      <c r="AZ19" s="43" t="s">
        <v>59</v>
      </c>
    </row>
    <row r="20" spans="1:80">
      <c r="A20" s="43" t="s">
        <v>26</v>
      </c>
      <c r="B20" s="30" t="s">
        <v>1110</v>
      </c>
      <c r="C20" s="30" t="s">
        <v>60</v>
      </c>
      <c r="D20" s="30"/>
      <c r="E20" s="30" t="s">
        <v>61</v>
      </c>
      <c r="F20" s="43" t="s">
        <v>34</v>
      </c>
      <c r="G20" s="43"/>
      <c r="H20" s="43"/>
      <c r="I20" s="43" t="s">
        <v>30</v>
      </c>
      <c r="J20" s="43">
        <v>19.02</v>
      </c>
      <c r="K20" s="43"/>
      <c r="L20" s="43">
        <v>371</v>
      </c>
      <c r="M20" s="43">
        <v>282</v>
      </c>
      <c r="N20" s="43"/>
      <c r="O20" s="43"/>
      <c r="P20" s="43">
        <v>5</v>
      </c>
      <c r="Q20" s="173" t="s">
        <v>1103</v>
      </c>
      <c r="R20" s="43"/>
      <c r="S20" s="43"/>
      <c r="T20" s="43"/>
      <c r="U20" s="43"/>
      <c r="V20" s="43"/>
      <c r="W20" s="43"/>
      <c r="X20" s="43"/>
      <c r="Y20" s="43"/>
      <c r="Z20" s="43"/>
      <c r="AA20" s="43"/>
      <c r="AB20" s="43"/>
      <c r="AC20" s="43"/>
      <c r="AD20" s="43"/>
      <c r="AE20" s="43"/>
      <c r="AF20" s="18">
        <v>190.4</v>
      </c>
      <c r="AG20" s="18"/>
      <c r="AH20" s="18"/>
      <c r="AI20" s="18"/>
      <c r="AJ20" s="18"/>
      <c r="AK20" s="18"/>
      <c r="AL20" s="18"/>
      <c r="AM20" s="18"/>
      <c r="AN20" s="18">
        <v>1</v>
      </c>
      <c r="AO20" s="18">
        <v>1</v>
      </c>
      <c r="AP20" s="18">
        <v>1</v>
      </c>
      <c r="AQ20" s="18"/>
      <c r="AR20" s="18"/>
      <c r="AS20" s="18"/>
      <c r="AT20" s="18"/>
      <c r="AU20" s="18"/>
      <c r="AV20" s="18"/>
      <c r="AW20" s="18"/>
      <c r="AX20" s="18"/>
      <c r="AY20" s="18"/>
      <c r="AZ20" s="43"/>
    </row>
    <row r="21" spans="1:80">
      <c r="A21" s="41" t="s">
        <v>64</v>
      </c>
      <c r="B21" s="41" t="s">
        <v>194</v>
      </c>
      <c r="C21" s="41" t="s">
        <v>62</v>
      </c>
      <c r="D21" s="41"/>
      <c r="E21" s="41" t="s">
        <v>63</v>
      </c>
      <c r="F21" s="40" t="s">
        <v>34</v>
      </c>
      <c r="G21" s="40"/>
      <c r="H21" s="41"/>
      <c r="I21" s="41" t="s">
        <v>30</v>
      </c>
      <c r="J21" s="41">
        <v>19.07</v>
      </c>
      <c r="K21" s="41"/>
      <c r="L21" s="41">
        <v>362</v>
      </c>
      <c r="M21" s="41">
        <v>289</v>
      </c>
      <c r="N21" s="41"/>
      <c r="O21" s="41"/>
      <c r="P21" s="40">
        <v>5</v>
      </c>
      <c r="Q21" s="173" t="s">
        <v>1103</v>
      </c>
      <c r="R21" s="41"/>
      <c r="S21" s="41"/>
      <c r="T21" s="41"/>
      <c r="U21" s="41"/>
      <c r="V21" s="41"/>
      <c r="W21" s="41"/>
      <c r="X21" s="41"/>
      <c r="Y21" s="41"/>
      <c r="Z21" s="41"/>
      <c r="AA21" s="41"/>
      <c r="AB21" s="41"/>
      <c r="AC21" s="41"/>
      <c r="AD21" s="41"/>
      <c r="AE21" s="41"/>
      <c r="AF21" s="20"/>
      <c r="AG21" s="20"/>
      <c r="AH21" s="20"/>
      <c r="AI21" s="9"/>
      <c r="AJ21" s="20"/>
      <c r="AK21" s="20"/>
      <c r="AL21" s="20"/>
      <c r="AM21" s="20"/>
      <c r="AN21" s="20">
        <v>1</v>
      </c>
      <c r="AO21" s="20">
        <v>1</v>
      </c>
      <c r="AP21" s="20">
        <v>1</v>
      </c>
      <c r="AQ21" s="20"/>
      <c r="AR21" s="20"/>
      <c r="AS21" s="9"/>
      <c r="AT21" s="20"/>
      <c r="AU21" s="20"/>
      <c r="AV21" s="20"/>
      <c r="AW21" s="20"/>
      <c r="AX21" s="20"/>
      <c r="AY21" s="20"/>
      <c r="AZ21" s="41"/>
    </row>
    <row r="22" spans="1:80">
      <c r="A22" s="40" t="s">
        <v>64</v>
      </c>
      <c r="B22" s="40" t="s">
        <v>195</v>
      </c>
      <c r="C22" s="40" t="s">
        <v>65</v>
      </c>
      <c r="D22" s="40"/>
      <c r="E22" s="40" t="s">
        <v>63</v>
      </c>
      <c r="F22" s="40" t="s">
        <v>34</v>
      </c>
      <c r="G22" s="40"/>
      <c r="H22" s="40"/>
      <c r="I22" s="40" t="s">
        <v>30</v>
      </c>
      <c r="J22" s="40">
        <v>50.92</v>
      </c>
      <c r="K22" s="40"/>
      <c r="L22" s="40">
        <v>386</v>
      </c>
      <c r="M22" s="40">
        <v>290</v>
      </c>
      <c r="N22" s="40"/>
      <c r="O22" s="40"/>
      <c r="P22" s="40">
        <v>5</v>
      </c>
      <c r="Q22" s="173" t="s">
        <v>1103</v>
      </c>
      <c r="R22" s="40"/>
      <c r="S22" s="40"/>
      <c r="T22" s="40"/>
      <c r="U22" s="40"/>
      <c r="V22" s="40"/>
      <c r="W22" s="40"/>
      <c r="X22" s="40"/>
      <c r="Y22" s="40"/>
      <c r="Z22" s="40"/>
      <c r="AA22" s="40"/>
      <c r="AB22" s="40"/>
      <c r="AC22" s="40"/>
      <c r="AD22" s="40"/>
      <c r="AE22" s="40"/>
      <c r="AF22" s="9"/>
      <c r="AG22" s="9"/>
      <c r="AH22" s="9"/>
      <c r="AI22" s="9"/>
      <c r="AJ22" s="9"/>
      <c r="AK22" s="9"/>
      <c r="AL22" s="9"/>
      <c r="AM22" s="9"/>
      <c r="AN22" s="9">
        <v>1</v>
      </c>
      <c r="AO22" s="9">
        <v>1</v>
      </c>
      <c r="AP22" s="9">
        <v>1</v>
      </c>
      <c r="AQ22" s="9"/>
      <c r="AR22" s="9"/>
      <c r="AS22" s="9"/>
      <c r="AT22" s="9"/>
      <c r="AU22" s="9"/>
      <c r="AV22" s="9"/>
      <c r="AW22" s="9"/>
      <c r="AX22" s="9"/>
      <c r="AY22" s="9"/>
      <c r="AZ22" s="40" t="s">
        <v>66</v>
      </c>
    </row>
    <row r="23" spans="1:80">
      <c r="A23" s="43" t="s">
        <v>26</v>
      </c>
      <c r="B23" s="31" t="s">
        <v>196</v>
      </c>
      <c r="C23" s="31" t="s">
        <v>67</v>
      </c>
      <c r="D23" s="31"/>
      <c r="E23" s="31" t="s">
        <v>68</v>
      </c>
      <c r="F23" s="43" t="s">
        <v>34</v>
      </c>
      <c r="G23" s="43"/>
      <c r="H23" s="43"/>
      <c r="I23" s="43" t="s">
        <v>30</v>
      </c>
      <c r="J23" s="43">
        <v>19.61</v>
      </c>
      <c r="K23" s="43"/>
      <c r="L23" s="43">
        <v>331</v>
      </c>
      <c r="M23" s="43">
        <v>321</v>
      </c>
      <c r="N23" s="43"/>
      <c r="O23" s="43"/>
      <c r="P23" s="43">
        <v>5</v>
      </c>
      <c r="Q23" s="173" t="s">
        <v>1103</v>
      </c>
      <c r="R23" s="43"/>
      <c r="S23" s="43"/>
      <c r="T23" s="43"/>
      <c r="U23" s="43"/>
      <c r="V23" s="43"/>
      <c r="W23" s="43"/>
      <c r="X23" s="43"/>
      <c r="Y23" s="43"/>
      <c r="Z23" s="43"/>
      <c r="AA23" s="43"/>
      <c r="AB23" s="43"/>
      <c r="AC23" s="43"/>
      <c r="AD23" s="43"/>
      <c r="AE23" s="43"/>
      <c r="AF23" s="18"/>
      <c r="AG23" s="18"/>
      <c r="AH23" s="18"/>
      <c r="AI23" s="18"/>
      <c r="AJ23" s="18"/>
      <c r="AK23" s="18"/>
      <c r="AL23" s="18"/>
      <c r="AM23" s="18"/>
      <c r="AN23" s="18">
        <v>1</v>
      </c>
      <c r="AO23" s="18">
        <v>1</v>
      </c>
      <c r="AP23" s="18">
        <v>1</v>
      </c>
      <c r="AQ23" s="18"/>
      <c r="AR23" s="18"/>
      <c r="AS23" s="18"/>
      <c r="AT23" s="18"/>
      <c r="AU23" s="18"/>
      <c r="AV23" s="18"/>
      <c r="AW23" s="18"/>
      <c r="AX23" s="18"/>
      <c r="AY23" s="18"/>
      <c r="AZ23" s="43"/>
    </row>
    <row r="24" spans="1:80">
      <c r="A24" s="40" t="s">
        <v>64</v>
      </c>
      <c r="B24" s="34" t="s">
        <v>197</v>
      </c>
      <c r="C24" s="34" t="s">
        <v>69</v>
      </c>
      <c r="D24" s="34"/>
      <c r="E24" s="34" t="s">
        <v>70</v>
      </c>
      <c r="F24" s="40" t="s">
        <v>34</v>
      </c>
      <c r="G24" s="40"/>
      <c r="H24" s="40"/>
      <c r="I24" s="40" t="s">
        <v>30</v>
      </c>
      <c r="J24" s="40">
        <v>18.420000000000002</v>
      </c>
      <c r="K24" s="40"/>
      <c r="L24" s="40">
        <v>359</v>
      </c>
      <c r="M24" s="40">
        <v>293</v>
      </c>
      <c r="N24" s="40"/>
      <c r="O24" s="40"/>
      <c r="P24" s="40">
        <v>5</v>
      </c>
      <c r="Q24" s="173" t="s">
        <v>1103</v>
      </c>
      <c r="R24" s="40"/>
      <c r="S24" s="40"/>
      <c r="T24" s="40"/>
      <c r="U24" s="40"/>
      <c r="V24" s="40"/>
      <c r="W24" s="40"/>
      <c r="X24" s="40"/>
      <c r="Y24" s="40"/>
      <c r="Z24" s="40"/>
      <c r="AA24" s="40"/>
      <c r="AB24" s="40"/>
      <c r="AC24" s="40"/>
      <c r="AD24" s="40"/>
      <c r="AE24" s="40"/>
      <c r="AF24" s="9"/>
      <c r="AG24" s="9"/>
      <c r="AH24" s="9"/>
      <c r="AI24" s="9"/>
      <c r="AJ24" s="9"/>
      <c r="AK24" s="9"/>
      <c r="AL24" s="9"/>
      <c r="AM24" s="9"/>
      <c r="AN24" s="9">
        <v>1</v>
      </c>
      <c r="AO24" s="9">
        <v>1</v>
      </c>
      <c r="AP24" s="9">
        <v>1</v>
      </c>
      <c r="AQ24" s="9"/>
      <c r="AR24" s="9"/>
      <c r="AS24" s="9"/>
      <c r="AT24" s="9"/>
      <c r="AU24" s="9"/>
      <c r="AV24" s="9"/>
      <c r="AW24" s="9"/>
      <c r="AX24" s="9"/>
      <c r="AY24" s="9"/>
      <c r="AZ24" s="40" t="s">
        <v>393</v>
      </c>
    </row>
    <row r="25" spans="1:80">
      <c r="A25" s="40" t="s">
        <v>64</v>
      </c>
      <c r="B25" s="34" t="s">
        <v>864</v>
      </c>
      <c r="C25" s="34" t="s">
        <v>71</v>
      </c>
      <c r="D25" s="34"/>
      <c r="E25" s="34" t="s">
        <v>72</v>
      </c>
      <c r="F25" s="40" t="s">
        <v>500</v>
      </c>
      <c r="G25" s="40"/>
      <c r="H25" s="40"/>
      <c r="I25" s="40" t="s">
        <v>30</v>
      </c>
      <c r="J25" s="40">
        <v>8.6959999999999997</v>
      </c>
      <c r="K25" s="40"/>
      <c r="L25" s="40">
        <v>368</v>
      </c>
      <c r="M25" s="40">
        <v>335</v>
      </c>
      <c r="N25" s="40"/>
      <c r="O25" s="40"/>
      <c r="P25" s="40">
        <v>5</v>
      </c>
      <c r="Q25" s="173" t="s">
        <v>1103</v>
      </c>
      <c r="R25" s="40"/>
      <c r="S25" s="40"/>
      <c r="T25" s="40"/>
      <c r="U25" s="40"/>
      <c r="V25" s="40"/>
      <c r="W25" s="40"/>
      <c r="X25" s="40"/>
      <c r="Y25" s="40"/>
      <c r="Z25" s="40"/>
      <c r="AA25" s="40"/>
      <c r="AB25" s="40"/>
      <c r="AC25" s="40"/>
      <c r="AD25" s="40">
        <v>1</v>
      </c>
      <c r="AE25" s="40"/>
      <c r="AF25" s="9"/>
      <c r="AG25" s="9"/>
      <c r="AH25" s="9"/>
      <c r="AI25" s="9"/>
      <c r="AJ25" s="9"/>
      <c r="AK25" s="9"/>
      <c r="AL25" s="9"/>
      <c r="AM25" s="9"/>
      <c r="AN25" s="9">
        <v>1</v>
      </c>
      <c r="AO25" s="9">
        <v>1</v>
      </c>
      <c r="AP25" s="9">
        <v>1</v>
      </c>
      <c r="AQ25" s="9"/>
      <c r="AR25" s="9"/>
      <c r="AS25" s="9"/>
      <c r="AT25" s="9"/>
      <c r="AU25" s="9"/>
      <c r="AV25" s="9"/>
      <c r="AW25" s="9"/>
      <c r="AX25" s="9"/>
      <c r="AY25" s="9"/>
      <c r="AZ25" s="40"/>
    </row>
    <row r="26" spans="1:80">
      <c r="A26" s="43" t="s">
        <v>26</v>
      </c>
      <c r="B26" s="29" t="s">
        <v>659</v>
      </c>
      <c r="C26" s="29" t="s">
        <v>73</v>
      </c>
      <c r="D26" s="29"/>
      <c r="E26" s="29" t="s">
        <v>74</v>
      </c>
      <c r="F26" s="43" t="s">
        <v>501</v>
      </c>
      <c r="G26" s="43"/>
      <c r="H26" s="43"/>
      <c r="I26" s="43" t="s">
        <v>30</v>
      </c>
      <c r="J26" s="43">
        <v>10</v>
      </c>
      <c r="K26" s="43"/>
      <c r="L26" s="43">
        <v>315</v>
      </c>
      <c r="M26" s="43">
        <v>318</v>
      </c>
      <c r="N26" s="43"/>
      <c r="O26" s="43"/>
      <c r="P26" s="43">
        <v>5</v>
      </c>
      <c r="Q26" s="173" t="s">
        <v>1103</v>
      </c>
      <c r="R26" s="43"/>
      <c r="S26" s="43"/>
      <c r="T26" s="43"/>
      <c r="U26" s="43"/>
      <c r="V26" s="43"/>
      <c r="W26" s="43"/>
      <c r="X26" s="43"/>
      <c r="Y26" s="43"/>
      <c r="Z26" s="43"/>
      <c r="AA26" s="43"/>
      <c r="AB26" s="43"/>
      <c r="AC26" s="43"/>
      <c r="AD26" s="43">
        <v>1</v>
      </c>
      <c r="AE26" s="43"/>
      <c r="AF26" s="18"/>
      <c r="AG26" s="18"/>
      <c r="AH26" s="18"/>
      <c r="AI26" s="18"/>
      <c r="AJ26" s="18"/>
      <c r="AK26" s="18"/>
      <c r="AL26" s="18"/>
      <c r="AM26" s="18"/>
      <c r="AN26" s="18">
        <v>1</v>
      </c>
      <c r="AO26" s="18">
        <v>1</v>
      </c>
      <c r="AP26" s="18">
        <v>1</v>
      </c>
      <c r="AQ26" s="18"/>
      <c r="AR26" s="18"/>
      <c r="AS26" s="18">
        <v>3687600</v>
      </c>
      <c r="AT26" s="18"/>
      <c r="AU26" s="18"/>
      <c r="AV26" s="18"/>
      <c r="AW26" s="18"/>
      <c r="AX26" s="18"/>
      <c r="AY26" s="18"/>
      <c r="AZ26" s="43"/>
    </row>
    <row r="27" spans="1:80">
      <c r="A27" s="40" t="s">
        <v>64</v>
      </c>
      <c r="B27" s="34" t="s">
        <v>200</v>
      </c>
      <c r="C27" s="34" t="s">
        <v>75</v>
      </c>
      <c r="D27" s="34"/>
      <c r="E27" s="34" t="s">
        <v>76</v>
      </c>
      <c r="F27" s="40" t="s">
        <v>501</v>
      </c>
      <c r="G27" s="40"/>
      <c r="H27" s="40"/>
      <c r="I27" s="40" t="s">
        <v>30</v>
      </c>
      <c r="J27" s="40">
        <v>9.5239999999999991</v>
      </c>
      <c r="K27" s="40"/>
      <c r="L27" s="40">
        <v>416</v>
      </c>
      <c r="M27" s="40">
        <v>311</v>
      </c>
      <c r="N27" s="40"/>
      <c r="O27" s="40"/>
      <c r="P27" s="40">
        <v>5</v>
      </c>
      <c r="Q27" s="173" t="s">
        <v>1103</v>
      </c>
      <c r="R27" s="40"/>
      <c r="S27" s="40"/>
      <c r="T27" s="40"/>
      <c r="U27" s="40"/>
      <c r="V27" s="40"/>
      <c r="W27" s="40"/>
      <c r="X27" s="40"/>
      <c r="Y27" s="40"/>
      <c r="Z27" s="40"/>
      <c r="AA27" s="40"/>
      <c r="AB27" s="40"/>
      <c r="AC27" s="40"/>
      <c r="AD27" s="40">
        <v>1</v>
      </c>
      <c r="AE27" s="40"/>
      <c r="AF27" s="9"/>
      <c r="AG27" s="9"/>
      <c r="AH27" s="9"/>
      <c r="AI27" s="9"/>
      <c r="AJ27" s="9"/>
      <c r="AK27" s="9"/>
      <c r="AL27" s="9"/>
      <c r="AM27" s="9"/>
      <c r="AN27" s="9">
        <v>1</v>
      </c>
      <c r="AO27" s="9">
        <v>1</v>
      </c>
      <c r="AP27" s="9">
        <v>1</v>
      </c>
      <c r="AQ27" s="9"/>
      <c r="AR27" s="9"/>
      <c r="AS27" s="9"/>
      <c r="AT27" s="9"/>
      <c r="AU27" s="9"/>
      <c r="AV27" s="9"/>
      <c r="AW27" s="9"/>
      <c r="AX27" s="9"/>
      <c r="AY27" s="9"/>
      <c r="AZ27" s="40"/>
    </row>
    <row r="28" spans="1:80">
      <c r="A28" s="39" t="s">
        <v>26</v>
      </c>
      <c r="B28" s="27" t="s">
        <v>814</v>
      </c>
      <c r="C28" s="27" t="s">
        <v>162</v>
      </c>
      <c r="D28" s="27"/>
      <c r="E28" s="27" t="s">
        <v>547</v>
      </c>
      <c r="F28" s="39" t="s">
        <v>501</v>
      </c>
      <c r="G28" s="39" t="s">
        <v>77</v>
      </c>
      <c r="H28" s="39">
        <v>1</v>
      </c>
      <c r="I28" s="39" t="s">
        <v>38</v>
      </c>
      <c r="J28" s="39">
        <v>1.76</v>
      </c>
      <c r="K28" s="39"/>
      <c r="L28" s="39">
        <v>658</v>
      </c>
      <c r="M28" s="39">
        <v>537</v>
      </c>
      <c r="N28" s="39"/>
      <c r="O28" s="39"/>
      <c r="P28" s="39">
        <v>1</v>
      </c>
      <c r="Q28" s="173" t="s">
        <v>1103</v>
      </c>
      <c r="R28" s="39"/>
      <c r="S28" s="39"/>
      <c r="T28" s="39"/>
      <c r="U28" s="39"/>
      <c r="V28" s="39"/>
      <c r="W28" s="39"/>
      <c r="X28" s="39"/>
      <c r="Y28" s="39"/>
      <c r="Z28" s="39"/>
      <c r="AA28" s="39">
        <v>1</v>
      </c>
      <c r="AB28" s="39"/>
      <c r="AC28" s="39"/>
      <c r="AD28" s="39">
        <v>1</v>
      </c>
      <c r="AE28" s="39"/>
      <c r="AF28" s="10">
        <v>18.8</v>
      </c>
      <c r="AG28" s="10"/>
      <c r="AH28" s="10"/>
      <c r="AI28" s="10"/>
      <c r="AJ28" s="10"/>
      <c r="AK28" s="10"/>
      <c r="AL28" s="10"/>
      <c r="AM28" s="10"/>
      <c r="AN28" s="10">
        <v>1</v>
      </c>
      <c r="AO28" s="10">
        <v>1</v>
      </c>
      <c r="AP28" s="10"/>
      <c r="AQ28" s="10"/>
      <c r="AR28" s="10"/>
      <c r="AS28" s="10">
        <v>3687631</v>
      </c>
      <c r="AT28" s="10">
        <v>3</v>
      </c>
      <c r="AU28" s="10"/>
      <c r="AV28" s="10"/>
      <c r="AW28" s="10"/>
      <c r="AX28" s="10"/>
      <c r="AY28" s="10"/>
      <c r="AZ28" s="39" t="s">
        <v>820</v>
      </c>
    </row>
    <row r="29" spans="1:80">
      <c r="A29" s="44" t="s">
        <v>26</v>
      </c>
      <c r="B29" s="31" t="s">
        <v>580</v>
      </c>
      <c r="C29" s="31" t="s">
        <v>78</v>
      </c>
      <c r="D29" s="31"/>
      <c r="E29" s="31" t="s">
        <v>547</v>
      </c>
      <c r="F29" s="43" t="s">
        <v>501</v>
      </c>
      <c r="G29" s="44"/>
      <c r="H29" s="44">
        <v>1</v>
      </c>
      <c r="I29" s="44" t="s">
        <v>30</v>
      </c>
      <c r="J29" s="44">
        <v>9.16</v>
      </c>
      <c r="K29" s="44"/>
      <c r="L29" s="44">
        <v>356</v>
      </c>
      <c r="M29" s="44">
        <v>310</v>
      </c>
      <c r="N29" s="44">
        <v>1</v>
      </c>
      <c r="O29" s="44"/>
      <c r="P29" s="43">
        <v>5</v>
      </c>
      <c r="Q29" s="173" t="s">
        <v>1103</v>
      </c>
      <c r="R29" s="44"/>
      <c r="S29" s="44"/>
      <c r="T29" s="44"/>
      <c r="U29" s="44"/>
      <c r="V29" s="44"/>
      <c r="W29" s="44"/>
      <c r="X29" s="44"/>
      <c r="Y29" s="44"/>
      <c r="Z29" s="44"/>
      <c r="AA29" s="44">
        <v>1</v>
      </c>
      <c r="AB29" s="44"/>
      <c r="AC29" s="44"/>
      <c r="AD29" s="44">
        <v>1</v>
      </c>
      <c r="AE29" s="44"/>
      <c r="AF29" s="17">
        <v>15.2</v>
      </c>
      <c r="AG29" s="17"/>
      <c r="AH29" s="17"/>
      <c r="AI29" s="18"/>
      <c r="AJ29" s="17"/>
      <c r="AK29" s="17"/>
      <c r="AL29" s="17"/>
      <c r="AM29" s="17"/>
      <c r="AN29" s="17">
        <v>1</v>
      </c>
      <c r="AO29" s="17">
        <v>1</v>
      </c>
      <c r="AP29" s="17">
        <v>1</v>
      </c>
      <c r="AQ29" s="17"/>
      <c r="AR29" s="17">
        <v>1</v>
      </c>
      <c r="AS29" s="18">
        <v>3688000</v>
      </c>
      <c r="AT29" s="17"/>
      <c r="AU29" s="17"/>
      <c r="AV29" s="17"/>
      <c r="AW29" s="17"/>
      <c r="AX29" s="17"/>
      <c r="AY29" s="17"/>
      <c r="AZ29" s="44"/>
      <c r="BA29" s="12"/>
      <c r="BB29" s="12"/>
      <c r="BC29" s="12"/>
      <c r="BD29" s="12"/>
      <c r="BE29" s="12"/>
      <c r="BF29" s="12"/>
      <c r="BG29" s="12"/>
      <c r="BH29" s="12"/>
      <c r="BI29" s="12"/>
      <c r="BJ29" s="12"/>
      <c r="BK29" s="12"/>
      <c r="BL29" s="12"/>
      <c r="BM29" s="12"/>
      <c r="BN29" s="12"/>
      <c r="BO29" s="12"/>
      <c r="BP29" s="12"/>
      <c r="BQ29" s="12"/>
      <c r="BR29" s="12"/>
      <c r="BS29" s="12"/>
      <c r="BT29" s="12"/>
      <c r="BU29" s="12"/>
      <c r="BV29" s="12"/>
      <c r="BW29" s="12"/>
      <c r="BX29" s="12"/>
      <c r="BY29" s="12"/>
      <c r="BZ29" s="12"/>
      <c r="CA29" s="12"/>
      <c r="CB29" s="12"/>
    </row>
    <row r="30" spans="1:80">
      <c r="A30" s="43" t="s">
        <v>26</v>
      </c>
      <c r="B30" s="29" t="s">
        <v>203</v>
      </c>
      <c r="C30" s="29" t="s">
        <v>79</v>
      </c>
      <c r="D30" s="29"/>
      <c r="E30" s="29" t="s">
        <v>548</v>
      </c>
      <c r="F30" s="43" t="s">
        <v>255</v>
      </c>
      <c r="G30" s="43" t="s">
        <v>501</v>
      </c>
      <c r="H30" s="43">
        <v>1</v>
      </c>
      <c r="I30" s="43" t="s">
        <v>810</v>
      </c>
      <c r="J30" s="171">
        <v>10.43</v>
      </c>
      <c r="K30" s="171">
        <v>10.49</v>
      </c>
      <c r="L30" s="171">
        <v>912</v>
      </c>
      <c r="M30" s="171">
        <v>561</v>
      </c>
      <c r="N30" s="43">
        <v>1</v>
      </c>
      <c r="O30" s="43"/>
      <c r="P30" s="43">
        <v>5</v>
      </c>
      <c r="Q30" s="173" t="s">
        <v>1103</v>
      </c>
      <c r="R30" s="43"/>
      <c r="S30" s="43"/>
      <c r="T30" s="43"/>
      <c r="U30" s="43"/>
      <c r="V30" s="43"/>
      <c r="W30" s="43"/>
      <c r="X30" s="43"/>
      <c r="Y30" s="43"/>
      <c r="Z30" s="43"/>
      <c r="AA30" s="43"/>
      <c r="AB30" s="43"/>
      <c r="AC30" s="43"/>
      <c r="AD30" s="43">
        <v>1</v>
      </c>
      <c r="AE30" s="43"/>
      <c r="AF30" s="18">
        <v>11.7</v>
      </c>
      <c r="AG30" s="18"/>
      <c r="AH30" s="18"/>
      <c r="AI30" s="18"/>
      <c r="AJ30" s="18"/>
      <c r="AK30" s="18"/>
      <c r="AL30" s="18"/>
      <c r="AM30" s="18"/>
      <c r="AN30" s="18">
        <v>1</v>
      </c>
      <c r="AO30" s="18">
        <v>1</v>
      </c>
      <c r="AP30" s="18">
        <v>1</v>
      </c>
      <c r="AQ30" s="18"/>
      <c r="AR30" s="18"/>
      <c r="AS30" s="18">
        <v>3687850</v>
      </c>
      <c r="AT30" s="18"/>
      <c r="AU30" s="18"/>
      <c r="AV30" s="18"/>
      <c r="AW30" s="18"/>
      <c r="AX30" s="18"/>
      <c r="AY30" s="18"/>
      <c r="AZ30" s="43"/>
    </row>
    <row r="31" spans="1:80">
      <c r="A31" s="43" t="s">
        <v>26</v>
      </c>
      <c r="B31" s="29" t="s">
        <v>204</v>
      </c>
      <c r="C31" s="29" t="s">
        <v>177</v>
      </c>
      <c r="D31" s="29"/>
      <c r="E31" s="29" t="s">
        <v>284</v>
      </c>
      <c r="F31" s="40" t="s">
        <v>500</v>
      </c>
      <c r="G31" s="43"/>
      <c r="H31" s="43"/>
      <c r="I31" s="43" t="s">
        <v>810</v>
      </c>
      <c r="J31" s="171">
        <v>9.2200000000000006</v>
      </c>
      <c r="K31" s="171">
        <v>8.17</v>
      </c>
      <c r="L31" s="171">
        <v>876.5</v>
      </c>
      <c r="M31" s="171">
        <v>623</v>
      </c>
      <c r="N31" s="43">
        <v>1</v>
      </c>
      <c r="O31" s="43"/>
      <c r="P31" s="43">
        <v>5</v>
      </c>
      <c r="Q31" s="173" t="s">
        <v>1103</v>
      </c>
      <c r="R31" s="43"/>
      <c r="S31" s="43"/>
      <c r="T31" s="43"/>
      <c r="U31" s="43"/>
      <c r="V31" s="43"/>
      <c r="W31" s="43"/>
      <c r="X31" s="43"/>
      <c r="Y31" s="43"/>
      <c r="Z31" s="43"/>
      <c r="AA31" s="43"/>
      <c r="AB31" s="43"/>
      <c r="AC31" s="43"/>
      <c r="AD31" s="43">
        <v>1</v>
      </c>
      <c r="AE31" s="43"/>
      <c r="AF31" s="18"/>
      <c r="AG31" s="18"/>
      <c r="AH31" s="18"/>
      <c r="AI31" s="18"/>
      <c r="AJ31" s="18"/>
      <c r="AK31" s="18"/>
      <c r="AL31" s="18"/>
      <c r="AM31" s="18"/>
      <c r="AN31" s="18">
        <v>1</v>
      </c>
      <c r="AO31" s="18">
        <v>1</v>
      </c>
      <c r="AP31" s="18">
        <v>1</v>
      </c>
      <c r="AQ31" s="18"/>
      <c r="AR31" s="18"/>
      <c r="AS31" s="18">
        <v>3687500</v>
      </c>
      <c r="AT31" s="18"/>
      <c r="AU31" s="18"/>
      <c r="AV31" s="18"/>
      <c r="AW31" s="18"/>
      <c r="AX31" s="18"/>
      <c r="AY31" s="18"/>
      <c r="AZ31" s="43" t="s">
        <v>533</v>
      </c>
    </row>
    <row r="32" spans="1:80">
      <c r="A32" s="40" t="s">
        <v>126</v>
      </c>
      <c r="B32" s="34" t="s">
        <v>205</v>
      </c>
      <c r="C32" s="34" t="s">
        <v>80</v>
      </c>
      <c r="D32" s="34"/>
      <c r="E32" s="34" t="s">
        <v>81</v>
      </c>
      <c r="F32" s="40" t="s">
        <v>34</v>
      </c>
      <c r="G32" s="40"/>
      <c r="H32" s="40"/>
      <c r="I32" s="40" t="s">
        <v>30</v>
      </c>
      <c r="J32" s="40">
        <v>44.8</v>
      </c>
      <c r="K32" s="40"/>
      <c r="L32" s="40">
        <v>351</v>
      </c>
      <c r="M32" s="40">
        <v>269</v>
      </c>
      <c r="N32" s="40">
        <v>1</v>
      </c>
      <c r="O32" s="40"/>
      <c r="P32" s="40">
        <v>5</v>
      </c>
      <c r="Q32" s="173" t="s">
        <v>1103</v>
      </c>
      <c r="R32" s="40"/>
      <c r="S32" s="40"/>
      <c r="T32" s="40"/>
      <c r="U32" s="40"/>
      <c r="V32" s="40"/>
      <c r="W32" s="40"/>
      <c r="X32" s="40"/>
      <c r="Y32" s="40"/>
      <c r="Z32" s="40"/>
      <c r="AA32" s="40"/>
      <c r="AB32" s="40"/>
      <c r="AC32" s="40"/>
      <c r="AD32" s="40"/>
      <c r="AE32" s="40"/>
      <c r="AF32" s="9"/>
      <c r="AG32" s="9"/>
      <c r="AH32" s="9"/>
      <c r="AI32" s="9"/>
      <c r="AJ32" s="9"/>
      <c r="AK32" s="9"/>
      <c r="AL32" s="9"/>
      <c r="AM32" s="9"/>
      <c r="AN32" s="9">
        <v>1</v>
      </c>
      <c r="AO32" s="9">
        <v>1</v>
      </c>
      <c r="AP32" s="9">
        <v>1</v>
      </c>
      <c r="AQ32" s="9"/>
      <c r="AR32" s="9"/>
      <c r="AS32" s="9"/>
      <c r="AT32" s="9"/>
      <c r="AU32" s="9"/>
      <c r="AV32" s="9"/>
      <c r="AW32" s="9"/>
      <c r="AX32" s="9"/>
      <c r="AY32" s="9"/>
      <c r="AZ32" s="40" t="s">
        <v>534</v>
      </c>
    </row>
    <row r="33" spans="1:80">
      <c r="A33" s="40" t="s">
        <v>126</v>
      </c>
      <c r="B33" s="119" t="s">
        <v>206</v>
      </c>
      <c r="C33" s="119" t="s">
        <v>82</v>
      </c>
      <c r="D33" s="119"/>
      <c r="E33" s="119" t="s">
        <v>81</v>
      </c>
      <c r="F33" s="40" t="s">
        <v>34</v>
      </c>
      <c r="G33" s="40"/>
      <c r="H33" s="40"/>
      <c r="I33" s="40" t="s">
        <v>30</v>
      </c>
      <c r="J33" s="40">
        <v>44.4</v>
      </c>
      <c r="K33" s="40"/>
      <c r="L33" s="40">
        <v>372</v>
      </c>
      <c r="M33" s="40">
        <v>244</v>
      </c>
      <c r="N33" s="40">
        <v>1</v>
      </c>
      <c r="O33" s="40"/>
      <c r="P33" s="40">
        <v>5</v>
      </c>
      <c r="Q33" s="173" t="s">
        <v>1103</v>
      </c>
      <c r="R33" s="40"/>
      <c r="S33" s="40"/>
      <c r="T33" s="40"/>
      <c r="U33" s="40"/>
      <c r="V33" s="40"/>
      <c r="W33" s="40"/>
      <c r="X33" s="40"/>
      <c r="Y33" s="40"/>
      <c r="Z33" s="40"/>
      <c r="AA33" s="40"/>
      <c r="AB33" s="40"/>
      <c r="AC33" s="40"/>
      <c r="AD33" s="40"/>
      <c r="AE33" s="40"/>
      <c r="AF33" s="9"/>
      <c r="AG33" s="9"/>
      <c r="AH33" s="9"/>
      <c r="AI33" s="9"/>
      <c r="AJ33" s="9"/>
      <c r="AK33" s="9"/>
      <c r="AL33" s="9"/>
      <c r="AM33" s="9"/>
      <c r="AN33" s="9">
        <v>1</v>
      </c>
      <c r="AO33" s="9">
        <v>1</v>
      </c>
      <c r="AP33" s="9">
        <v>1</v>
      </c>
      <c r="AQ33" s="9"/>
      <c r="AR33" s="9"/>
      <c r="AS33" s="9"/>
      <c r="AT33" s="9"/>
      <c r="AU33" s="9"/>
      <c r="AV33" s="9"/>
      <c r="AW33" s="9"/>
      <c r="AX33" s="9"/>
      <c r="AY33" s="9"/>
      <c r="AZ33" s="40" t="s">
        <v>535</v>
      </c>
    </row>
    <row r="34" spans="1:80">
      <c r="A34" s="40" t="s">
        <v>170</v>
      </c>
      <c r="B34" s="40" t="s">
        <v>207</v>
      </c>
      <c r="C34" s="40" t="s">
        <v>83</v>
      </c>
      <c r="D34" s="40"/>
      <c r="E34" s="40" t="s">
        <v>81</v>
      </c>
      <c r="F34" s="40" t="s">
        <v>34</v>
      </c>
      <c r="G34" s="40"/>
      <c r="H34" s="40"/>
      <c r="I34" s="40" t="s">
        <v>30</v>
      </c>
      <c r="J34" s="40">
        <v>44.33</v>
      </c>
      <c r="K34" s="40"/>
      <c r="L34" s="40">
        <v>375</v>
      </c>
      <c r="M34" s="40">
        <v>235</v>
      </c>
      <c r="N34" s="40">
        <v>1</v>
      </c>
      <c r="O34" s="40"/>
      <c r="P34" s="40">
        <v>5</v>
      </c>
      <c r="Q34" s="173" t="s">
        <v>1103</v>
      </c>
      <c r="R34" s="40"/>
      <c r="S34" s="40"/>
      <c r="T34" s="40"/>
      <c r="U34" s="40"/>
      <c r="V34" s="40"/>
      <c r="W34" s="40"/>
      <c r="X34" s="40"/>
      <c r="Y34" s="40"/>
      <c r="Z34" s="40"/>
      <c r="AA34" s="40"/>
      <c r="AB34" s="40"/>
      <c r="AC34" s="40"/>
      <c r="AD34" s="40"/>
      <c r="AE34" s="40"/>
      <c r="AF34" s="9"/>
      <c r="AG34" s="9"/>
      <c r="AH34" s="9"/>
      <c r="AI34" s="9"/>
      <c r="AJ34" s="9"/>
      <c r="AK34" s="9"/>
      <c r="AL34" s="9"/>
      <c r="AM34" s="9"/>
      <c r="AN34" s="9">
        <v>1</v>
      </c>
      <c r="AO34" s="9">
        <v>1</v>
      </c>
      <c r="AP34" s="9">
        <v>1</v>
      </c>
      <c r="AQ34" s="9"/>
      <c r="AR34" s="9"/>
      <c r="AS34" s="9"/>
      <c r="AT34" s="9"/>
      <c r="AU34" s="9"/>
      <c r="AV34" s="9"/>
      <c r="AW34" s="9"/>
      <c r="AX34" s="9"/>
      <c r="AY34" s="9"/>
      <c r="AZ34" s="40" t="s">
        <v>232</v>
      </c>
    </row>
    <row r="35" spans="1:80">
      <c r="A35" s="43" t="s">
        <v>26</v>
      </c>
      <c r="B35" s="31" t="s">
        <v>859</v>
      </c>
      <c r="C35" s="31" t="s">
        <v>860</v>
      </c>
      <c r="D35" s="40"/>
      <c r="E35" s="29" t="s">
        <v>284</v>
      </c>
      <c r="F35" s="40" t="s">
        <v>501</v>
      </c>
      <c r="G35" s="40"/>
      <c r="H35" s="40"/>
      <c r="I35" s="43" t="s">
        <v>810</v>
      </c>
      <c r="J35" s="40">
        <v>6</v>
      </c>
      <c r="K35" s="40"/>
      <c r="L35" s="40">
        <v>974</v>
      </c>
      <c r="M35" s="40">
        <v>558</v>
      </c>
      <c r="N35" s="40"/>
      <c r="O35" s="40"/>
      <c r="P35" s="40">
        <v>5</v>
      </c>
      <c r="Q35" s="173" t="s">
        <v>1103</v>
      </c>
      <c r="R35" s="40"/>
      <c r="S35" s="40"/>
      <c r="T35" s="40"/>
      <c r="U35" s="40"/>
      <c r="V35" s="40"/>
      <c r="W35" s="40"/>
      <c r="X35" s="40"/>
      <c r="Y35" s="40"/>
      <c r="Z35" s="40"/>
      <c r="AA35" s="40"/>
      <c r="AB35" s="40"/>
      <c r="AC35" s="40"/>
      <c r="AD35" s="40">
        <v>1</v>
      </c>
      <c r="AE35" s="40"/>
      <c r="AF35" s="9">
        <v>11.8</v>
      </c>
      <c r="AG35" s="9"/>
      <c r="AH35" s="9"/>
      <c r="AI35" s="9"/>
      <c r="AJ35" s="9"/>
      <c r="AK35" s="9"/>
      <c r="AL35" s="9"/>
      <c r="AM35" s="9"/>
      <c r="AN35" s="9">
        <v>1</v>
      </c>
      <c r="AO35" s="9">
        <v>1</v>
      </c>
      <c r="AP35" s="9">
        <v>1</v>
      </c>
      <c r="AQ35" s="9"/>
      <c r="AR35" s="9"/>
      <c r="AS35" s="18"/>
      <c r="AT35" s="9"/>
      <c r="AU35" s="9"/>
      <c r="AV35" s="9"/>
      <c r="AW35" s="9"/>
      <c r="AX35" s="9"/>
      <c r="AY35" s="9"/>
      <c r="AZ35" s="40"/>
    </row>
    <row r="36" spans="1:80" s="23" customFormat="1">
      <c r="A36" s="40" t="s">
        <v>126</v>
      </c>
      <c r="B36" s="120" t="s">
        <v>208</v>
      </c>
      <c r="C36" s="120" t="s">
        <v>84</v>
      </c>
      <c r="D36" s="120" t="s">
        <v>238</v>
      </c>
      <c r="E36" s="120" t="s">
        <v>85</v>
      </c>
      <c r="F36" s="121" t="s">
        <v>496</v>
      </c>
      <c r="G36" s="121" t="s">
        <v>495</v>
      </c>
      <c r="H36" s="121">
        <v>2</v>
      </c>
      <c r="I36" s="121" t="s">
        <v>169</v>
      </c>
      <c r="J36" s="121">
        <v>2.96</v>
      </c>
      <c r="K36" s="121"/>
      <c r="L36" s="121">
        <v>693</v>
      </c>
      <c r="M36" s="121">
        <v>527</v>
      </c>
      <c r="N36" s="121"/>
      <c r="O36" s="121"/>
      <c r="P36" s="40">
        <v>1</v>
      </c>
      <c r="Q36" s="173" t="s">
        <v>1103</v>
      </c>
      <c r="R36" s="121"/>
      <c r="S36" s="121"/>
      <c r="T36" s="121"/>
      <c r="U36" s="121"/>
      <c r="V36" s="121"/>
      <c r="W36" s="121"/>
      <c r="X36" s="121"/>
      <c r="Y36" s="121"/>
      <c r="Z36" s="121"/>
      <c r="AA36" s="121"/>
      <c r="AB36" s="121"/>
      <c r="AC36" s="121"/>
      <c r="AD36" s="121">
        <v>1</v>
      </c>
      <c r="AE36" s="121"/>
      <c r="AF36" s="122"/>
      <c r="AG36" s="122"/>
      <c r="AH36" s="122"/>
      <c r="AI36" s="9"/>
      <c r="AJ36" s="122"/>
      <c r="AK36" s="122"/>
      <c r="AL36" s="122"/>
      <c r="AM36" s="122"/>
      <c r="AN36" s="122">
        <v>1</v>
      </c>
      <c r="AO36" s="122">
        <v>1</v>
      </c>
      <c r="AP36" s="122">
        <v>1</v>
      </c>
      <c r="AQ36" s="122"/>
      <c r="AR36" s="122"/>
      <c r="AS36" s="9"/>
      <c r="AT36" s="122"/>
      <c r="AU36" s="122"/>
      <c r="AV36" s="122"/>
      <c r="AW36" s="122"/>
      <c r="AX36" s="122"/>
      <c r="AY36" s="122"/>
      <c r="AZ36" s="121" t="s">
        <v>254</v>
      </c>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row>
    <row r="37" spans="1:80">
      <c r="A37" s="40" t="s">
        <v>126</v>
      </c>
      <c r="B37" s="34" t="s">
        <v>236</v>
      </c>
      <c r="C37" s="34" t="s">
        <v>234</v>
      </c>
      <c r="D37" s="34" t="s">
        <v>239</v>
      </c>
      <c r="E37" s="34" t="s">
        <v>85</v>
      </c>
      <c r="F37" s="40" t="s">
        <v>34</v>
      </c>
      <c r="G37" s="40"/>
      <c r="H37" s="40"/>
      <c r="I37" s="40" t="s">
        <v>30</v>
      </c>
      <c r="J37" s="40">
        <v>17.59</v>
      </c>
      <c r="K37" s="40"/>
      <c r="L37" s="40">
        <v>380</v>
      </c>
      <c r="M37" s="40">
        <v>294</v>
      </c>
      <c r="N37" s="40"/>
      <c r="O37" s="40"/>
      <c r="P37" s="40">
        <v>5</v>
      </c>
      <c r="Q37" s="173" t="s">
        <v>1103</v>
      </c>
      <c r="R37" s="40"/>
      <c r="S37" s="40"/>
      <c r="T37" s="40"/>
      <c r="U37" s="40"/>
      <c r="V37" s="40"/>
      <c r="W37" s="40"/>
      <c r="X37" s="40"/>
      <c r="Y37" s="40"/>
      <c r="Z37" s="40"/>
      <c r="AA37" s="40"/>
      <c r="AB37" s="40"/>
      <c r="AC37" s="40"/>
      <c r="AD37" s="40"/>
      <c r="AE37" s="40"/>
      <c r="AF37" s="9"/>
      <c r="AG37" s="9"/>
      <c r="AH37" s="9"/>
      <c r="AI37" s="9"/>
      <c r="AJ37" s="9"/>
      <c r="AK37" s="9"/>
      <c r="AL37" s="9"/>
      <c r="AM37" s="9"/>
      <c r="AN37" s="9">
        <v>1</v>
      </c>
      <c r="AO37" s="9">
        <v>1</v>
      </c>
      <c r="AP37" s="9">
        <v>1</v>
      </c>
      <c r="AQ37" s="9"/>
      <c r="AR37" s="9"/>
      <c r="AS37" s="9"/>
      <c r="AT37" s="9"/>
      <c r="AU37" s="9"/>
      <c r="AV37" s="9"/>
      <c r="AW37" s="9"/>
      <c r="AX37" s="9"/>
      <c r="AY37" s="9"/>
      <c r="AZ37" s="40" t="s">
        <v>257</v>
      </c>
    </row>
    <row r="38" spans="1:80">
      <c r="A38" s="40" t="s">
        <v>126</v>
      </c>
      <c r="B38" s="34" t="s">
        <v>237</v>
      </c>
      <c r="C38" s="34" t="s">
        <v>235</v>
      </c>
      <c r="D38" s="34" t="s">
        <v>240</v>
      </c>
      <c r="E38" s="34" t="s">
        <v>85</v>
      </c>
      <c r="F38" s="40" t="s">
        <v>34</v>
      </c>
      <c r="G38" s="40"/>
      <c r="H38" s="40"/>
      <c r="I38" s="40" t="s">
        <v>30</v>
      </c>
      <c r="J38" s="40"/>
      <c r="K38" s="40"/>
      <c r="L38" s="40"/>
      <c r="M38" s="40"/>
      <c r="N38" s="40"/>
      <c r="O38" s="40"/>
      <c r="P38" s="40">
        <v>5</v>
      </c>
      <c r="Q38" s="173" t="s">
        <v>1103</v>
      </c>
      <c r="R38" s="40"/>
      <c r="S38" s="40"/>
      <c r="T38" s="40"/>
      <c r="U38" s="40"/>
      <c r="V38" s="40"/>
      <c r="W38" s="40"/>
      <c r="X38" s="40"/>
      <c r="Y38" s="40"/>
      <c r="Z38" s="40"/>
      <c r="AA38" s="40"/>
      <c r="AB38" s="40"/>
      <c r="AC38" s="40"/>
      <c r="AD38" s="40"/>
      <c r="AE38" s="40"/>
      <c r="AF38" s="9"/>
      <c r="AG38" s="9"/>
      <c r="AH38" s="9"/>
      <c r="AI38" s="9"/>
      <c r="AJ38" s="9"/>
      <c r="AK38" s="9"/>
      <c r="AL38" s="9"/>
      <c r="AM38" s="9"/>
      <c r="AN38" s="9">
        <v>1</v>
      </c>
      <c r="AO38" s="9">
        <v>1</v>
      </c>
      <c r="AP38" s="9">
        <v>1</v>
      </c>
      <c r="AQ38" s="9"/>
      <c r="AR38" s="9"/>
      <c r="AS38" s="9"/>
      <c r="AT38" s="9"/>
      <c r="AU38" s="9"/>
      <c r="AV38" s="9"/>
      <c r="AW38" s="9"/>
      <c r="AX38" s="9"/>
      <c r="AY38" s="9"/>
      <c r="AZ38" s="40" t="s">
        <v>258</v>
      </c>
    </row>
    <row r="39" spans="1:80">
      <c r="A39" s="40" t="s">
        <v>126</v>
      </c>
      <c r="B39" s="34" t="s">
        <v>605</v>
      </c>
      <c r="C39" s="34" t="s">
        <v>385</v>
      </c>
      <c r="D39" s="34" t="s">
        <v>241</v>
      </c>
      <c r="E39" s="34" t="s">
        <v>282</v>
      </c>
      <c r="F39" s="40" t="s">
        <v>501</v>
      </c>
      <c r="G39" s="40"/>
      <c r="H39" s="40"/>
      <c r="I39" s="40" t="s">
        <v>169</v>
      </c>
      <c r="J39" s="40">
        <v>2.14</v>
      </c>
      <c r="K39" s="40"/>
      <c r="L39" s="40">
        <v>652</v>
      </c>
      <c r="M39" s="40">
        <v>492</v>
      </c>
      <c r="N39" s="40"/>
      <c r="O39" s="40"/>
      <c r="P39" s="40">
        <v>1</v>
      </c>
      <c r="Q39" s="173" t="s">
        <v>1103</v>
      </c>
      <c r="R39" s="40"/>
      <c r="S39" s="40"/>
      <c r="T39" s="40"/>
      <c r="U39" s="40"/>
      <c r="V39" s="40"/>
      <c r="W39" s="40"/>
      <c r="X39" s="40"/>
      <c r="Y39" s="40"/>
      <c r="Z39" s="40"/>
      <c r="AA39" s="40"/>
      <c r="AB39" s="40"/>
      <c r="AC39" s="40"/>
      <c r="AD39" s="40">
        <v>1</v>
      </c>
      <c r="AE39" s="40"/>
      <c r="AF39" s="9"/>
      <c r="AG39" s="9"/>
      <c r="AH39" s="9">
        <v>-5.5</v>
      </c>
      <c r="AI39" s="9"/>
      <c r="AJ39" s="9"/>
      <c r="AK39" s="9"/>
      <c r="AL39" s="9"/>
      <c r="AM39" s="9"/>
      <c r="AN39" s="9">
        <v>1</v>
      </c>
      <c r="AO39" s="9">
        <v>1</v>
      </c>
      <c r="AP39" s="9">
        <v>1</v>
      </c>
      <c r="AQ39" s="9">
        <v>1</v>
      </c>
      <c r="AR39" s="9"/>
      <c r="AS39" s="9"/>
      <c r="AT39" s="9"/>
      <c r="AU39" s="9"/>
      <c r="AV39" s="9"/>
      <c r="AW39" s="9"/>
      <c r="AX39" s="9"/>
      <c r="AY39" s="9"/>
      <c r="AZ39" s="40" t="s">
        <v>498</v>
      </c>
    </row>
    <row r="40" spans="1:80">
      <c r="A40" s="40" t="s">
        <v>126</v>
      </c>
      <c r="B40" s="34" t="s">
        <v>387</v>
      </c>
      <c r="C40" s="34" t="s">
        <v>383</v>
      </c>
      <c r="D40" s="123" t="s">
        <v>242</v>
      </c>
      <c r="E40" s="34" t="s">
        <v>282</v>
      </c>
      <c r="F40" s="40" t="s">
        <v>255</v>
      </c>
      <c r="G40" s="40" t="s">
        <v>501</v>
      </c>
      <c r="H40" s="40">
        <v>2</v>
      </c>
      <c r="I40" s="40" t="s">
        <v>38</v>
      </c>
      <c r="J40" s="40">
        <v>2.04</v>
      </c>
      <c r="K40" s="40"/>
      <c r="L40" s="40">
        <v>690</v>
      </c>
      <c r="M40" s="40">
        <v>492</v>
      </c>
      <c r="N40" s="40"/>
      <c r="O40" s="40"/>
      <c r="P40" s="40">
        <v>1</v>
      </c>
      <c r="Q40" s="173" t="s">
        <v>1103</v>
      </c>
      <c r="R40" s="40"/>
      <c r="S40" s="40"/>
      <c r="T40" s="40"/>
      <c r="U40" s="40"/>
      <c r="V40" s="40"/>
      <c r="W40" s="40"/>
      <c r="X40" s="40"/>
      <c r="Y40" s="40"/>
      <c r="Z40" s="40"/>
      <c r="AA40" s="40"/>
      <c r="AB40" s="40"/>
      <c r="AC40" s="40"/>
      <c r="AD40" s="40">
        <v>1</v>
      </c>
      <c r="AE40" s="40"/>
      <c r="AF40" s="9"/>
      <c r="AG40" s="9"/>
      <c r="AH40" s="9">
        <v>-5.5</v>
      </c>
      <c r="AI40" s="9"/>
      <c r="AJ40" s="9"/>
      <c r="AK40" s="9"/>
      <c r="AL40" s="9"/>
      <c r="AM40" s="9"/>
      <c r="AN40" s="9">
        <v>1</v>
      </c>
      <c r="AO40" s="9">
        <v>1</v>
      </c>
      <c r="AP40" s="9">
        <v>1</v>
      </c>
      <c r="AQ40" s="9">
        <v>1</v>
      </c>
      <c r="AR40" s="9"/>
      <c r="AS40" s="9"/>
      <c r="AT40" s="9"/>
      <c r="AU40" s="9"/>
      <c r="AV40" s="9"/>
      <c r="AW40" s="9"/>
      <c r="AX40" s="9"/>
      <c r="AY40" s="9"/>
      <c r="AZ40" s="40" t="s">
        <v>499</v>
      </c>
    </row>
    <row r="41" spans="1:80">
      <c r="A41" s="40" t="s">
        <v>126</v>
      </c>
      <c r="B41" s="119" t="s">
        <v>388</v>
      </c>
      <c r="C41" s="119" t="s">
        <v>384</v>
      </c>
      <c r="D41" s="119" t="s">
        <v>243</v>
      </c>
      <c r="E41" s="119" t="s">
        <v>282</v>
      </c>
      <c r="F41" s="124" t="s">
        <v>77</v>
      </c>
      <c r="G41" s="124" t="s">
        <v>501</v>
      </c>
      <c r="H41" s="124">
        <v>2</v>
      </c>
      <c r="I41" s="124" t="s">
        <v>38</v>
      </c>
      <c r="J41" s="124">
        <v>2.09</v>
      </c>
      <c r="K41" s="124"/>
      <c r="L41" s="124">
        <v>703</v>
      </c>
      <c r="M41" s="124">
        <v>518</v>
      </c>
      <c r="N41" s="124"/>
      <c r="O41" s="124"/>
      <c r="P41" s="40">
        <v>1</v>
      </c>
      <c r="Q41" s="173" t="s">
        <v>1103</v>
      </c>
      <c r="R41" s="124"/>
      <c r="S41" s="124"/>
      <c r="T41" s="124"/>
      <c r="U41" s="124"/>
      <c r="V41" s="124"/>
      <c r="W41" s="124"/>
      <c r="X41" s="124"/>
      <c r="Y41" s="124"/>
      <c r="Z41" s="124"/>
      <c r="AA41" s="124"/>
      <c r="AB41" s="124"/>
      <c r="AC41" s="124"/>
      <c r="AD41" s="124">
        <v>1</v>
      </c>
      <c r="AE41" s="124"/>
      <c r="AF41" s="125"/>
      <c r="AG41" s="125"/>
      <c r="AH41" s="125">
        <v>-5</v>
      </c>
      <c r="AI41" s="9"/>
      <c r="AJ41" s="125"/>
      <c r="AK41" s="125"/>
      <c r="AL41" s="125"/>
      <c r="AM41" s="125"/>
      <c r="AN41" s="9">
        <v>1</v>
      </c>
      <c r="AO41" s="9">
        <v>1</v>
      </c>
      <c r="AP41" s="9">
        <v>1</v>
      </c>
      <c r="AQ41" s="125">
        <v>1</v>
      </c>
      <c r="AR41" s="125"/>
      <c r="AS41" s="9"/>
      <c r="AT41" s="125"/>
      <c r="AU41" s="125"/>
      <c r="AV41" s="125"/>
      <c r="AW41" s="125"/>
      <c r="AX41" s="125"/>
      <c r="AY41" s="125"/>
      <c r="AZ41" s="124" t="s">
        <v>286</v>
      </c>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row>
    <row r="42" spans="1:80">
      <c r="A42" s="40" t="s">
        <v>126</v>
      </c>
      <c r="B42" s="40" t="s">
        <v>560</v>
      </c>
      <c r="C42" s="40" t="s">
        <v>86</v>
      </c>
      <c r="D42" s="40"/>
      <c r="E42" s="40" t="s">
        <v>85</v>
      </c>
      <c r="F42" s="40" t="s">
        <v>34</v>
      </c>
      <c r="G42" s="21"/>
      <c r="H42" s="40"/>
      <c r="I42" s="40" t="s">
        <v>30</v>
      </c>
      <c r="J42" s="40">
        <v>17.86</v>
      </c>
      <c r="K42" s="40"/>
      <c r="L42" s="40">
        <v>360</v>
      </c>
      <c r="M42" s="40">
        <v>292</v>
      </c>
      <c r="N42" s="40"/>
      <c r="O42" s="40"/>
      <c r="P42" s="40">
        <v>5</v>
      </c>
      <c r="Q42" s="173" t="s">
        <v>1103</v>
      </c>
      <c r="R42" s="40"/>
      <c r="S42" s="40"/>
      <c r="T42" s="40"/>
      <c r="U42" s="40"/>
      <c r="V42" s="40"/>
      <c r="W42" s="40"/>
      <c r="X42" s="40"/>
      <c r="Y42" s="40"/>
      <c r="Z42" s="40"/>
      <c r="AA42" s="40"/>
      <c r="AB42" s="40"/>
      <c r="AC42" s="40"/>
      <c r="AD42" s="40"/>
      <c r="AE42" s="40"/>
      <c r="AF42" s="9"/>
      <c r="AG42" s="9"/>
      <c r="AH42" s="9"/>
      <c r="AI42" s="9"/>
      <c r="AJ42" s="9"/>
      <c r="AK42" s="9"/>
      <c r="AL42" s="9"/>
      <c r="AM42" s="9"/>
      <c r="AN42" s="9">
        <v>1</v>
      </c>
      <c r="AO42" s="9">
        <v>1</v>
      </c>
      <c r="AP42" s="9">
        <v>1</v>
      </c>
      <c r="AQ42" s="9"/>
      <c r="AR42" s="9"/>
      <c r="AS42" s="9"/>
      <c r="AT42" s="9"/>
      <c r="AU42" s="9"/>
      <c r="AV42" s="9"/>
      <c r="AW42" s="9"/>
      <c r="AX42" s="9"/>
      <c r="AY42" s="9"/>
      <c r="AZ42" s="40"/>
    </row>
    <row r="43" spans="1:80">
      <c r="A43" s="40" t="s">
        <v>126</v>
      </c>
      <c r="B43" s="120" t="s">
        <v>296</v>
      </c>
      <c r="C43" s="120" t="s">
        <v>291</v>
      </c>
      <c r="D43" s="120"/>
      <c r="E43" s="120" t="s">
        <v>283</v>
      </c>
      <c r="F43" s="40" t="s">
        <v>34</v>
      </c>
      <c r="G43" s="21"/>
      <c r="H43" s="40"/>
      <c r="I43" s="40" t="s">
        <v>30</v>
      </c>
      <c r="J43" s="40">
        <v>17.63</v>
      </c>
      <c r="K43" s="40"/>
      <c r="L43" s="40">
        <v>408</v>
      </c>
      <c r="M43" s="40">
        <v>300</v>
      </c>
      <c r="N43" s="40"/>
      <c r="O43" s="40"/>
      <c r="P43" s="40">
        <v>5</v>
      </c>
      <c r="Q43" s="173" t="s">
        <v>1103</v>
      </c>
      <c r="R43" s="40"/>
      <c r="S43" s="40"/>
      <c r="T43" s="40"/>
      <c r="U43" s="40"/>
      <c r="V43" s="40"/>
      <c r="W43" s="40"/>
      <c r="X43" s="40"/>
      <c r="Y43" s="40"/>
      <c r="Z43" s="40"/>
      <c r="AA43" s="40"/>
      <c r="AB43" s="40"/>
      <c r="AC43" s="40"/>
      <c r="AD43" s="40"/>
      <c r="AE43" s="40"/>
      <c r="AF43" s="9"/>
      <c r="AG43" s="9"/>
      <c r="AH43" s="9"/>
      <c r="AI43" s="9"/>
      <c r="AJ43" s="9"/>
      <c r="AK43" s="9"/>
      <c r="AL43" s="9"/>
      <c r="AM43" s="9"/>
      <c r="AN43" s="9">
        <v>1</v>
      </c>
      <c r="AO43" s="9">
        <v>1</v>
      </c>
      <c r="AP43" s="9">
        <v>1</v>
      </c>
      <c r="AQ43" s="9"/>
      <c r="AR43" s="9"/>
      <c r="AS43" s="9"/>
      <c r="AT43" s="9"/>
      <c r="AU43" s="9"/>
      <c r="AV43" s="9"/>
      <c r="AW43" s="9"/>
      <c r="AX43" s="9"/>
      <c r="AY43" s="9"/>
      <c r="AZ43" s="40" t="s">
        <v>256</v>
      </c>
    </row>
    <row r="44" spans="1:80">
      <c r="A44" s="40" t="s">
        <v>126</v>
      </c>
      <c r="B44" s="34" t="s">
        <v>287</v>
      </c>
      <c r="C44" s="34" t="s">
        <v>87</v>
      </c>
      <c r="D44" s="34"/>
      <c r="E44" s="34" t="s">
        <v>283</v>
      </c>
      <c r="F44" s="40" t="s">
        <v>29</v>
      </c>
      <c r="G44" s="21"/>
      <c r="H44" s="40"/>
      <c r="I44" s="40" t="s">
        <v>30</v>
      </c>
      <c r="J44" s="40">
        <v>0.17399999999999999</v>
      </c>
      <c r="K44" s="40"/>
      <c r="L44" s="40"/>
      <c r="M44" s="40"/>
      <c r="N44" s="40"/>
      <c r="O44" s="40"/>
      <c r="P44" s="40">
        <v>5</v>
      </c>
      <c r="Q44" s="173" t="s">
        <v>1103</v>
      </c>
      <c r="R44" s="40"/>
      <c r="S44" s="40"/>
      <c r="T44" s="40"/>
      <c r="U44" s="40"/>
      <c r="V44" s="40"/>
      <c r="W44" s="40"/>
      <c r="X44" s="40"/>
      <c r="Y44" s="40"/>
      <c r="Z44" s="40"/>
      <c r="AA44" s="40"/>
      <c r="AB44" s="40">
        <v>1</v>
      </c>
      <c r="AC44" s="40"/>
      <c r="AD44" s="40"/>
      <c r="AE44" s="40"/>
      <c r="AF44" s="9"/>
      <c r="AG44" s="9"/>
      <c r="AH44" s="9"/>
      <c r="AI44" s="9"/>
      <c r="AJ44" s="9"/>
      <c r="AK44" s="9"/>
      <c r="AL44" s="9"/>
      <c r="AM44" s="9"/>
      <c r="AN44" s="9">
        <v>1</v>
      </c>
      <c r="AO44" s="9">
        <v>1</v>
      </c>
      <c r="AP44" s="9">
        <v>1</v>
      </c>
      <c r="AQ44" s="9"/>
      <c r="AR44" s="9"/>
      <c r="AS44" s="9"/>
      <c r="AT44" s="9"/>
      <c r="AU44" s="9"/>
      <c r="AV44" s="9"/>
      <c r="AW44" s="9"/>
      <c r="AX44" s="9"/>
      <c r="AY44" s="9"/>
      <c r="AZ44" s="40"/>
    </row>
    <row r="45" spans="1:80">
      <c r="A45" s="40" t="s">
        <v>126</v>
      </c>
      <c r="B45" s="34" t="s">
        <v>288</v>
      </c>
      <c r="C45" s="34" t="s">
        <v>292</v>
      </c>
      <c r="D45" s="34"/>
      <c r="E45" s="119" t="s">
        <v>283</v>
      </c>
      <c r="F45" s="124" t="s">
        <v>29</v>
      </c>
      <c r="G45" s="126"/>
      <c r="H45" s="40"/>
      <c r="I45" s="40" t="s">
        <v>38</v>
      </c>
      <c r="J45" s="40">
        <v>0.17399999999999999</v>
      </c>
      <c r="K45" s="40"/>
      <c r="L45" s="40"/>
      <c r="M45" s="40"/>
      <c r="N45" s="40"/>
      <c r="O45" s="40"/>
      <c r="P45" s="40">
        <v>5</v>
      </c>
      <c r="Q45" s="173" t="s">
        <v>1103</v>
      </c>
      <c r="R45" s="40"/>
      <c r="S45" s="40"/>
      <c r="T45" s="40"/>
      <c r="U45" s="40"/>
      <c r="V45" s="40"/>
      <c r="W45" s="40"/>
      <c r="X45" s="40"/>
      <c r="Y45" s="40"/>
      <c r="Z45" s="40"/>
      <c r="AA45" s="40"/>
      <c r="AB45" s="40">
        <v>1</v>
      </c>
      <c r="AC45" s="40"/>
      <c r="AD45" s="40"/>
      <c r="AE45" s="40"/>
      <c r="AF45" s="9"/>
      <c r="AG45" s="9"/>
      <c r="AH45" s="9"/>
      <c r="AI45" s="9"/>
      <c r="AJ45" s="9"/>
      <c r="AK45" s="9"/>
      <c r="AL45" s="9"/>
      <c r="AM45" s="9"/>
      <c r="AN45" s="9">
        <v>1</v>
      </c>
      <c r="AO45" s="9">
        <v>1</v>
      </c>
      <c r="AP45" s="9">
        <v>1</v>
      </c>
      <c r="AQ45" s="9"/>
      <c r="AR45" s="9"/>
      <c r="AS45" s="9"/>
      <c r="AT45" s="9"/>
      <c r="AU45" s="9"/>
      <c r="AV45" s="9"/>
      <c r="AW45" s="9"/>
      <c r="AX45" s="9"/>
      <c r="AY45" s="9"/>
      <c r="AZ45" s="40"/>
    </row>
    <row r="46" spans="1:80">
      <c r="A46" s="40" t="s">
        <v>126</v>
      </c>
      <c r="B46" s="142" t="s">
        <v>210</v>
      </c>
      <c r="C46" s="120" t="s">
        <v>176</v>
      </c>
      <c r="D46" s="120"/>
      <c r="E46" s="34" t="s">
        <v>276</v>
      </c>
      <c r="F46" s="40" t="s">
        <v>500</v>
      </c>
      <c r="G46" s="40" t="s">
        <v>501</v>
      </c>
      <c r="H46" s="121">
        <v>2</v>
      </c>
      <c r="I46" s="121" t="s">
        <v>30</v>
      </c>
      <c r="J46" s="121">
        <v>9.4700000000000006</v>
      </c>
      <c r="K46" s="121"/>
      <c r="L46" s="121">
        <v>399</v>
      </c>
      <c r="M46" s="121">
        <v>266</v>
      </c>
      <c r="N46" s="121"/>
      <c r="O46" s="121"/>
      <c r="P46" s="40">
        <v>5</v>
      </c>
      <c r="Q46" s="173" t="s">
        <v>1103</v>
      </c>
      <c r="R46" s="121"/>
      <c r="S46" s="121"/>
      <c r="T46" s="121"/>
      <c r="U46" s="121"/>
      <c r="V46" s="121"/>
      <c r="W46" s="121"/>
      <c r="X46" s="121"/>
      <c r="Y46" s="121"/>
      <c r="Z46" s="121"/>
      <c r="AA46" s="121"/>
      <c r="AB46" s="121"/>
      <c r="AC46" s="121"/>
      <c r="AD46" s="121">
        <v>1</v>
      </c>
      <c r="AE46" s="121"/>
      <c r="AF46" s="122"/>
      <c r="AG46" s="122"/>
      <c r="AH46" s="122"/>
      <c r="AI46" s="9"/>
      <c r="AJ46" s="122"/>
      <c r="AK46" s="122"/>
      <c r="AL46" s="122"/>
      <c r="AM46" s="122"/>
      <c r="AN46" s="122">
        <v>1</v>
      </c>
      <c r="AO46" s="122">
        <v>1</v>
      </c>
      <c r="AP46" s="122">
        <v>1</v>
      </c>
      <c r="AQ46" s="122"/>
      <c r="AR46" s="122"/>
      <c r="AS46" s="9"/>
      <c r="AT46" s="122"/>
      <c r="AU46" s="122"/>
      <c r="AV46" s="122"/>
      <c r="AW46" s="122"/>
      <c r="AX46" s="122"/>
      <c r="AY46" s="122"/>
      <c r="AZ46" s="121"/>
      <c r="BA46" s="12"/>
      <c r="BB46" s="12"/>
      <c r="BC46" s="12"/>
      <c r="BD46" s="12"/>
      <c r="BE46" s="12"/>
      <c r="BF46" s="12"/>
      <c r="BG46" s="12"/>
      <c r="BH46" s="12"/>
      <c r="BI46" s="12"/>
      <c r="BJ46" s="12"/>
      <c r="BK46" s="12"/>
      <c r="BL46" s="12"/>
      <c r="BM46" s="12"/>
      <c r="BN46" s="12"/>
      <c r="BO46" s="12"/>
      <c r="BP46" s="12"/>
      <c r="BQ46" s="12"/>
      <c r="BR46" s="12"/>
      <c r="BS46" s="12"/>
      <c r="BT46" s="12"/>
      <c r="BU46" s="12"/>
      <c r="BV46" s="12"/>
    </row>
    <row r="47" spans="1:80">
      <c r="A47" s="44" t="s">
        <v>26</v>
      </c>
      <c r="B47" s="35" t="s">
        <v>729</v>
      </c>
      <c r="C47" s="31" t="s">
        <v>730</v>
      </c>
      <c r="D47" s="31"/>
      <c r="E47" s="29" t="s">
        <v>276</v>
      </c>
      <c r="F47" s="43" t="s">
        <v>743</v>
      </c>
      <c r="G47" s="43"/>
      <c r="H47" s="44"/>
      <c r="I47" s="44" t="s">
        <v>30</v>
      </c>
      <c r="J47" s="44">
        <v>7.59</v>
      </c>
      <c r="K47" s="44"/>
      <c r="L47" s="44">
        <v>404</v>
      </c>
      <c r="M47" s="44">
        <v>248</v>
      </c>
      <c r="N47" s="44"/>
      <c r="O47" s="44"/>
      <c r="P47" s="43">
        <v>5</v>
      </c>
      <c r="Q47" s="173" t="s">
        <v>1103</v>
      </c>
      <c r="R47" s="44"/>
      <c r="S47" s="44"/>
      <c r="T47" s="44"/>
      <c r="U47" s="44"/>
      <c r="V47" s="44"/>
      <c r="W47" s="44"/>
      <c r="X47" s="44"/>
      <c r="Y47" s="44"/>
      <c r="Z47" s="44"/>
      <c r="AA47" s="44"/>
      <c r="AB47" s="44"/>
      <c r="AC47" s="44"/>
      <c r="AD47" s="44">
        <v>1</v>
      </c>
      <c r="AE47" s="44"/>
      <c r="AF47" s="17">
        <v>135.1</v>
      </c>
      <c r="AG47" s="17"/>
      <c r="AH47" s="17"/>
      <c r="AI47" s="18"/>
      <c r="AJ47" s="17"/>
      <c r="AK47" s="17"/>
      <c r="AL47" s="17"/>
      <c r="AM47" s="17"/>
      <c r="AN47" s="17">
        <v>1</v>
      </c>
      <c r="AO47" s="17">
        <v>1</v>
      </c>
      <c r="AP47" s="17">
        <v>1</v>
      </c>
      <c r="AQ47" s="17"/>
      <c r="AR47" s="17"/>
      <c r="AS47" s="18">
        <v>3687665</v>
      </c>
      <c r="AT47" s="17">
        <v>3</v>
      </c>
      <c r="AU47" s="17"/>
      <c r="AV47" s="17"/>
      <c r="AW47" s="17"/>
      <c r="AX47" s="17"/>
      <c r="AY47" s="17"/>
      <c r="AZ47" s="44"/>
      <c r="BA47" s="12"/>
      <c r="BB47" s="12"/>
      <c r="BC47" s="12"/>
      <c r="BD47" s="12"/>
      <c r="BE47" s="12"/>
      <c r="BF47" s="12"/>
      <c r="BG47" s="12"/>
      <c r="BH47" s="12"/>
      <c r="BI47" s="12"/>
      <c r="BJ47" s="12"/>
      <c r="BK47" s="12"/>
      <c r="BL47" s="12"/>
      <c r="BM47" s="12"/>
      <c r="BN47" s="12"/>
      <c r="BO47" s="12"/>
      <c r="BP47" s="12"/>
      <c r="BQ47" s="12"/>
      <c r="BR47" s="12"/>
      <c r="BS47" s="12"/>
      <c r="BT47" s="12"/>
      <c r="BU47" s="12"/>
      <c r="BV47" s="12"/>
    </row>
    <row r="48" spans="1:80">
      <c r="A48" s="39" t="s">
        <v>26</v>
      </c>
      <c r="B48" s="36" t="s">
        <v>784</v>
      </c>
      <c r="C48" s="27" t="s">
        <v>272</v>
      </c>
      <c r="D48" s="27" t="s">
        <v>244</v>
      </c>
      <c r="E48" s="27" t="s">
        <v>277</v>
      </c>
      <c r="F48" s="39" t="s">
        <v>77</v>
      </c>
      <c r="G48" s="39" t="s">
        <v>501</v>
      </c>
      <c r="H48" s="39">
        <v>2</v>
      </c>
      <c r="I48" s="39" t="s">
        <v>38</v>
      </c>
      <c r="J48" s="39">
        <v>1.68</v>
      </c>
      <c r="K48" s="39"/>
      <c r="L48" s="39">
        <v>675</v>
      </c>
      <c r="M48" s="39">
        <v>535</v>
      </c>
      <c r="N48" s="39"/>
      <c r="O48" s="39"/>
      <c r="P48" s="39">
        <v>5</v>
      </c>
      <c r="Q48" s="173" t="s">
        <v>1103</v>
      </c>
      <c r="R48" s="39"/>
      <c r="S48" s="39"/>
      <c r="T48" s="39"/>
      <c r="U48" s="39"/>
      <c r="V48" s="39"/>
      <c r="W48" s="39"/>
      <c r="X48" s="39"/>
      <c r="Y48" s="39"/>
      <c r="Z48" s="39"/>
      <c r="AA48" s="39"/>
      <c r="AB48" s="39"/>
      <c r="AC48" s="39"/>
      <c r="AD48" s="39">
        <v>1</v>
      </c>
      <c r="AE48" s="39"/>
      <c r="AF48" s="10">
        <v>112.5</v>
      </c>
      <c r="AG48" s="10"/>
      <c r="AH48" s="10">
        <v>-9.5660000000000007</v>
      </c>
      <c r="AI48" s="10"/>
      <c r="AJ48" s="10"/>
      <c r="AK48" s="10"/>
      <c r="AL48" s="10"/>
      <c r="AM48" s="10"/>
      <c r="AN48" s="10">
        <v>1</v>
      </c>
      <c r="AO48" s="10">
        <v>1</v>
      </c>
      <c r="AP48" s="10">
        <v>1</v>
      </c>
      <c r="AQ48" s="10">
        <v>1</v>
      </c>
      <c r="AR48" s="10"/>
      <c r="AS48" s="10">
        <v>3687600</v>
      </c>
      <c r="AT48" s="10"/>
      <c r="AU48" s="10"/>
      <c r="AV48" s="10"/>
      <c r="AW48" s="10"/>
      <c r="AX48" s="10"/>
      <c r="AY48" s="10"/>
      <c r="AZ48" s="39"/>
    </row>
    <row r="49" spans="1:74">
      <c r="A49" s="39" t="s">
        <v>26</v>
      </c>
      <c r="B49" s="36" t="s">
        <v>300</v>
      </c>
      <c r="C49" s="27" t="s">
        <v>273</v>
      </c>
      <c r="D49" s="27" t="s">
        <v>245</v>
      </c>
      <c r="E49" s="27" t="s">
        <v>278</v>
      </c>
      <c r="F49" s="39" t="s">
        <v>77</v>
      </c>
      <c r="G49" s="39" t="s">
        <v>501</v>
      </c>
      <c r="H49" s="39">
        <v>2</v>
      </c>
      <c r="I49" s="39" t="s">
        <v>38</v>
      </c>
      <c r="J49" s="39">
        <v>1.81</v>
      </c>
      <c r="K49" s="39"/>
      <c r="L49" s="39">
        <v>694</v>
      </c>
      <c r="M49" s="39">
        <v>562</v>
      </c>
      <c r="N49" s="39"/>
      <c r="O49" s="39"/>
      <c r="P49" s="39">
        <v>5</v>
      </c>
      <c r="Q49" s="173" t="s">
        <v>1103</v>
      </c>
      <c r="R49" s="39"/>
      <c r="S49" s="39"/>
      <c r="T49" s="39"/>
      <c r="U49" s="39"/>
      <c r="V49" s="39"/>
      <c r="W49" s="39"/>
      <c r="X49" s="39"/>
      <c r="Y49" s="39"/>
      <c r="Z49" s="39"/>
      <c r="AA49" s="39"/>
      <c r="AB49" s="39"/>
      <c r="AC49" s="39"/>
      <c r="AD49" s="39">
        <v>1</v>
      </c>
      <c r="AE49" s="39"/>
      <c r="AF49" s="10">
        <v>92.5</v>
      </c>
      <c r="AG49" s="10"/>
      <c r="AH49" s="10">
        <v>-5.3529999999999998</v>
      </c>
      <c r="AI49" s="10"/>
      <c r="AJ49" s="10"/>
      <c r="AK49" s="10"/>
      <c r="AL49" s="10"/>
      <c r="AM49" s="10"/>
      <c r="AN49" s="10">
        <v>1</v>
      </c>
      <c r="AO49" s="10">
        <v>1</v>
      </c>
      <c r="AP49" s="10">
        <v>1</v>
      </c>
      <c r="AQ49" s="10">
        <v>1</v>
      </c>
      <c r="AR49" s="10"/>
      <c r="AS49" s="10">
        <v>3687605</v>
      </c>
      <c r="AT49" s="10"/>
      <c r="AU49" s="10"/>
      <c r="AV49" s="10"/>
      <c r="AW49" s="10"/>
      <c r="AX49" s="10"/>
      <c r="AY49" s="10"/>
      <c r="AZ49" s="39"/>
    </row>
    <row r="50" spans="1:74">
      <c r="A50" s="39" t="s">
        <v>26</v>
      </c>
      <c r="B50" s="36" t="s">
        <v>301</v>
      </c>
      <c r="C50" s="27" t="s">
        <v>274</v>
      </c>
      <c r="D50" s="27" t="s">
        <v>246</v>
      </c>
      <c r="E50" s="27" t="s">
        <v>279</v>
      </c>
      <c r="F50" s="39" t="s">
        <v>77</v>
      </c>
      <c r="G50" s="39" t="s">
        <v>501</v>
      </c>
      <c r="H50" s="39">
        <v>2</v>
      </c>
      <c r="I50" s="39" t="s">
        <v>38</v>
      </c>
      <c r="J50" s="39">
        <v>2.1</v>
      </c>
      <c r="K50" s="39"/>
      <c r="L50" s="39">
        <v>675</v>
      </c>
      <c r="M50" s="39">
        <v>537</v>
      </c>
      <c r="N50" s="39"/>
      <c r="O50" s="39"/>
      <c r="P50" s="39">
        <v>5</v>
      </c>
      <c r="Q50" s="173" t="s">
        <v>1103</v>
      </c>
      <c r="R50" s="39"/>
      <c r="S50" s="39"/>
      <c r="T50" s="39"/>
      <c r="U50" s="39"/>
      <c r="V50" s="39"/>
      <c r="W50" s="39"/>
      <c r="X50" s="39"/>
      <c r="Y50" s="39"/>
      <c r="Z50" s="39"/>
      <c r="AA50" s="39"/>
      <c r="AB50" s="39"/>
      <c r="AC50" s="39"/>
      <c r="AD50" s="39">
        <v>1</v>
      </c>
      <c r="AE50" s="39"/>
      <c r="AF50" s="10">
        <v>28</v>
      </c>
      <c r="AG50" s="10"/>
      <c r="AH50" s="10">
        <v>-7.1130000000000004</v>
      </c>
      <c r="AI50" s="10"/>
      <c r="AJ50" s="10"/>
      <c r="AK50" s="10"/>
      <c r="AL50" s="10"/>
      <c r="AM50" s="10"/>
      <c r="AN50" s="10">
        <v>1</v>
      </c>
      <c r="AO50" s="10">
        <v>1</v>
      </c>
      <c r="AP50" s="10">
        <v>1</v>
      </c>
      <c r="AQ50" s="10">
        <v>1</v>
      </c>
      <c r="AR50" s="10"/>
      <c r="AS50" s="10">
        <v>3687585</v>
      </c>
      <c r="AT50" s="10"/>
      <c r="AU50" s="10"/>
      <c r="AV50" s="10"/>
      <c r="AW50" s="10"/>
      <c r="AX50" s="10"/>
      <c r="AY50" s="10"/>
      <c r="AZ50" s="39"/>
    </row>
    <row r="51" spans="1:74">
      <c r="A51" s="39" t="s">
        <v>26</v>
      </c>
      <c r="B51" s="36" t="s">
        <v>302</v>
      </c>
      <c r="C51" s="27" t="s">
        <v>275</v>
      </c>
      <c r="D51" s="27" t="s">
        <v>247</v>
      </c>
      <c r="E51" s="27" t="s">
        <v>280</v>
      </c>
      <c r="F51" s="39" t="s">
        <v>77</v>
      </c>
      <c r="G51" s="39" t="s">
        <v>501</v>
      </c>
      <c r="H51" s="39">
        <v>2</v>
      </c>
      <c r="I51" s="39" t="s">
        <v>38</v>
      </c>
      <c r="J51" s="39">
        <v>2.2400000000000002</v>
      </c>
      <c r="K51" s="39"/>
      <c r="L51" s="39">
        <v>655</v>
      </c>
      <c r="M51" s="39">
        <v>525</v>
      </c>
      <c r="N51" s="39"/>
      <c r="O51" s="39"/>
      <c r="P51" s="39">
        <v>5</v>
      </c>
      <c r="Q51" s="173" t="s">
        <v>1103</v>
      </c>
      <c r="R51" s="39"/>
      <c r="S51" s="39"/>
      <c r="T51" s="39"/>
      <c r="U51" s="39"/>
      <c r="V51" s="39"/>
      <c r="W51" s="39"/>
      <c r="X51" s="39"/>
      <c r="Y51" s="39"/>
      <c r="Z51" s="39"/>
      <c r="AA51" s="39"/>
      <c r="AB51" s="39"/>
      <c r="AC51" s="39"/>
      <c r="AD51" s="39">
        <v>1</v>
      </c>
      <c r="AE51" s="39"/>
      <c r="AF51" s="10">
        <v>125</v>
      </c>
      <c r="AG51" s="10"/>
      <c r="AH51" s="10">
        <v>-5.5039999999999996</v>
      </c>
      <c r="AI51" s="10"/>
      <c r="AJ51" s="10"/>
      <c r="AK51" s="10"/>
      <c r="AL51" s="10"/>
      <c r="AM51" s="10"/>
      <c r="AN51" s="10">
        <v>1</v>
      </c>
      <c r="AO51" s="10">
        <v>1</v>
      </c>
      <c r="AP51" s="10">
        <v>1</v>
      </c>
      <c r="AQ51" s="10">
        <v>1</v>
      </c>
      <c r="AR51" s="10"/>
      <c r="AS51" s="10">
        <v>3687580</v>
      </c>
      <c r="AT51" s="10"/>
      <c r="AU51" s="10"/>
      <c r="AV51" s="10"/>
      <c r="AW51" s="10"/>
      <c r="AX51" s="10"/>
      <c r="AY51" s="10"/>
      <c r="AZ51" s="39"/>
    </row>
    <row r="52" spans="1:74">
      <c r="A52" s="43" t="s">
        <v>26</v>
      </c>
      <c r="B52" s="37" t="s">
        <v>855</v>
      </c>
      <c r="C52" s="29" t="s">
        <v>293</v>
      </c>
      <c r="D52" s="29"/>
      <c r="E52" s="29" t="s">
        <v>281</v>
      </c>
      <c r="F52" s="43" t="s">
        <v>77</v>
      </c>
      <c r="G52" s="43" t="s">
        <v>501</v>
      </c>
      <c r="H52" s="43">
        <v>2</v>
      </c>
      <c r="I52" s="43" t="s">
        <v>810</v>
      </c>
      <c r="J52" s="43">
        <v>10.01</v>
      </c>
      <c r="K52" s="43">
        <v>9.3800000000000008</v>
      </c>
      <c r="L52" s="43">
        <v>1146</v>
      </c>
      <c r="M52" s="43">
        <v>632</v>
      </c>
      <c r="N52" s="43"/>
      <c r="O52" s="43"/>
      <c r="P52" s="43">
        <v>5</v>
      </c>
      <c r="Q52" s="173" t="s">
        <v>1103</v>
      </c>
      <c r="R52" s="43"/>
      <c r="S52" s="43"/>
      <c r="T52" s="43"/>
      <c r="U52" s="43"/>
      <c r="V52" s="43"/>
      <c r="W52" s="43"/>
      <c r="X52" s="43"/>
      <c r="Y52" s="43"/>
      <c r="Z52" s="43"/>
      <c r="AA52" s="43"/>
      <c r="AB52" s="43"/>
      <c r="AC52" s="43"/>
      <c r="AD52" s="43">
        <v>1</v>
      </c>
      <c r="AE52" s="43"/>
      <c r="AF52" s="18"/>
      <c r="AG52" s="18"/>
      <c r="AH52" s="18"/>
      <c r="AI52" s="18"/>
      <c r="AJ52" s="18"/>
      <c r="AK52" s="18"/>
      <c r="AL52" s="18"/>
      <c r="AM52" s="18"/>
      <c r="AN52" s="18">
        <v>1</v>
      </c>
      <c r="AO52" s="18">
        <v>1</v>
      </c>
      <c r="AP52" s="18">
        <v>1</v>
      </c>
      <c r="AQ52" s="18"/>
      <c r="AR52" s="18"/>
      <c r="AS52" s="18">
        <v>3687660</v>
      </c>
      <c r="AT52" s="18"/>
      <c r="AU52" s="18"/>
      <c r="AV52" s="18"/>
      <c r="AW52" s="18"/>
      <c r="AX52" s="18"/>
      <c r="AY52" s="18"/>
      <c r="AZ52" s="43"/>
    </row>
    <row r="53" spans="1:74">
      <c r="A53" s="43" t="s">
        <v>26</v>
      </c>
      <c r="B53" s="37" t="s">
        <v>289</v>
      </c>
      <c r="C53" s="29" t="s">
        <v>294</v>
      </c>
      <c r="D53" s="29"/>
      <c r="E53" s="29" t="s">
        <v>281</v>
      </c>
      <c r="F53" s="43" t="s">
        <v>1047</v>
      </c>
      <c r="G53" s="43"/>
      <c r="H53" s="43"/>
      <c r="I53" s="44" t="s">
        <v>30</v>
      </c>
      <c r="J53" s="43">
        <v>197</v>
      </c>
      <c r="K53" s="43"/>
      <c r="L53" s="43">
        <v>432</v>
      </c>
      <c r="M53" s="43">
        <v>280</v>
      </c>
      <c r="N53" s="43"/>
      <c r="O53" s="43"/>
      <c r="P53" s="43">
        <v>5</v>
      </c>
      <c r="Q53" s="173" t="s">
        <v>1103</v>
      </c>
      <c r="R53" s="43"/>
      <c r="S53" s="43"/>
      <c r="T53" s="43"/>
      <c r="U53" s="43"/>
      <c r="V53" s="43"/>
      <c r="W53" s="43"/>
      <c r="X53" s="43"/>
      <c r="Y53" s="43"/>
      <c r="Z53" s="43"/>
      <c r="AA53" s="43"/>
      <c r="AB53" s="43"/>
      <c r="AC53" s="43"/>
      <c r="AD53" s="43"/>
      <c r="AE53" s="43"/>
      <c r="AF53" s="18"/>
      <c r="AG53" s="18"/>
      <c r="AH53" s="18"/>
      <c r="AI53" s="18"/>
      <c r="AJ53" s="18"/>
      <c r="AK53" s="18"/>
      <c r="AL53" s="18"/>
      <c r="AM53" s="18"/>
      <c r="AN53" s="18">
        <v>1</v>
      </c>
      <c r="AO53" s="18">
        <v>1</v>
      </c>
      <c r="AP53" s="18">
        <v>1</v>
      </c>
      <c r="AQ53" s="18"/>
      <c r="AR53" s="18"/>
      <c r="AS53" s="18"/>
      <c r="AT53" s="18"/>
      <c r="AU53" s="18"/>
      <c r="AV53" s="18"/>
      <c r="AW53" s="18"/>
      <c r="AX53" s="18"/>
      <c r="AY53" s="18"/>
      <c r="AZ53" s="43"/>
    </row>
    <row r="54" spans="1:74" ht="12.5">
      <c r="A54" s="42" t="s">
        <v>26</v>
      </c>
      <c r="B54" s="38" t="s">
        <v>290</v>
      </c>
      <c r="C54" s="28" t="s">
        <v>295</v>
      </c>
      <c r="D54" s="28"/>
      <c r="E54" s="28" t="s">
        <v>281</v>
      </c>
      <c r="F54" s="42" t="s">
        <v>29</v>
      </c>
      <c r="G54" s="42"/>
      <c r="H54" s="42"/>
      <c r="I54" s="42" t="s">
        <v>38</v>
      </c>
      <c r="J54" s="127">
        <v>146</v>
      </c>
      <c r="K54" s="127"/>
      <c r="L54" s="42">
        <v>356</v>
      </c>
      <c r="M54" s="42">
        <v>310</v>
      </c>
      <c r="N54" s="42"/>
      <c r="O54" s="42"/>
      <c r="P54" s="42">
        <v>5</v>
      </c>
      <c r="Q54" s="173" t="s">
        <v>1103</v>
      </c>
      <c r="R54" s="42"/>
      <c r="S54" s="42"/>
      <c r="T54" s="42"/>
      <c r="U54" s="42"/>
      <c r="V54" s="42"/>
      <c r="W54" s="42"/>
      <c r="X54" s="42"/>
      <c r="Y54" s="42"/>
      <c r="Z54" s="42"/>
      <c r="AA54" s="42"/>
      <c r="AB54" s="42"/>
      <c r="AC54" s="42"/>
      <c r="AD54" s="42"/>
      <c r="AE54" s="42"/>
      <c r="AF54" s="15"/>
      <c r="AG54" s="15"/>
      <c r="AH54" s="15"/>
      <c r="AI54" s="10"/>
      <c r="AJ54" s="15"/>
      <c r="AK54" s="15"/>
      <c r="AL54" s="15"/>
      <c r="AM54" s="15"/>
      <c r="AN54" s="15">
        <v>1</v>
      </c>
      <c r="AO54" s="15">
        <v>1</v>
      </c>
      <c r="AP54" s="15">
        <v>1</v>
      </c>
      <c r="AQ54" s="15"/>
      <c r="AR54" s="15"/>
      <c r="AS54" s="10"/>
      <c r="AT54" s="15"/>
      <c r="AU54" s="15"/>
      <c r="AV54" s="15"/>
      <c r="AW54" s="15"/>
      <c r="AX54" s="15"/>
      <c r="AY54" s="15"/>
      <c r="AZ54" s="42"/>
      <c r="BA54" s="11"/>
      <c r="BB54" s="11"/>
      <c r="BC54" s="11"/>
      <c r="BD54" s="11"/>
      <c r="BE54" s="11"/>
      <c r="BF54" s="11"/>
      <c r="BG54" s="11"/>
      <c r="BH54" s="11"/>
      <c r="BI54" s="11"/>
      <c r="BJ54" s="11"/>
      <c r="BK54" s="11"/>
      <c r="BL54" s="11"/>
      <c r="BM54" s="11"/>
      <c r="BN54" s="11"/>
      <c r="BO54" s="11"/>
      <c r="BP54" s="11"/>
      <c r="BQ54" s="11"/>
      <c r="BR54" s="11"/>
      <c r="BS54" s="11"/>
      <c r="BT54" s="11"/>
      <c r="BU54" s="11"/>
      <c r="BV54" s="11"/>
    </row>
    <row r="55" spans="1:74">
      <c r="A55" s="39" t="s">
        <v>26</v>
      </c>
      <c r="B55" s="27" t="s">
        <v>211</v>
      </c>
      <c r="C55" s="27" t="s">
        <v>88</v>
      </c>
      <c r="D55" s="27"/>
      <c r="E55" s="27" t="s">
        <v>89</v>
      </c>
      <c r="F55" s="39" t="s">
        <v>500</v>
      </c>
      <c r="G55" s="39"/>
      <c r="H55" s="39"/>
      <c r="I55" s="39" t="s">
        <v>38</v>
      </c>
      <c r="J55" s="39">
        <v>6.07</v>
      </c>
      <c r="K55" s="39"/>
      <c r="L55" s="39">
        <v>656</v>
      </c>
      <c r="M55" s="39">
        <v>513</v>
      </c>
      <c r="N55" s="39"/>
      <c r="O55" s="39"/>
      <c r="P55" s="39">
        <v>5</v>
      </c>
      <c r="Q55" s="173" t="s">
        <v>1103</v>
      </c>
      <c r="R55" s="39"/>
      <c r="S55" s="39"/>
      <c r="T55" s="39"/>
      <c r="U55" s="39"/>
      <c r="V55" s="39"/>
      <c r="W55" s="39"/>
      <c r="X55" s="39"/>
      <c r="Y55" s="39"/>
      <c r="Z55" s="39"/>
      <c r="AA55" s="39"/>
      <c r="AB55" s="39"/>
      <c r="AC55" s="39"/>
      <c r="AD55" s="39"/>
      <c r="AE55" s="39"/>
      <c r="AF55" s="10"/>
      <c r="AG55" s="10"/>
      <c r="AH55" s="10"/>
      <c r="AI55" s="10"/>
      <c r="AJ55" s="10"/>
      <c r="AK55" s="10"/>
      <c r="AL55" s="10"/>
      <c r="AM55" s="10"/>
      <c r="AN55" s="10">
        <v>1</v>
      </c>
      <c r="AO55" s="10">
        <v>1</v>
      </c>
      <c r="AP55" s="10">
        <v>1</v>
      </c>
      <c r="AQ55" s="10"/>
      <c r="AR55" s="10">
        <v>1</v>
      </c>
      <c r="AS55" s="10">
        <v>3687460</v>
      </c>
      <c r="AT55" s="10"/>
      <c r="AU55" s="10"/>
      <c r="AV55" s="10"/>
      <c r="AW55" s="10"/>
      <c r="AX55" s="10"/>
      <c r="AY55" s="10"/>
      <c r="AZ55" s="39"/>
    </row>
    <row r="56" spans="1:74">
      <c r="A56" s="43" t="s">
        <v>26</v>
      </c>
      <c r="B56" s="29" t="s">
        <v>212</v>
      </c>
      <c r="C56" s="29" t="s">
        <v>90</v>
      </c>
      <c r="D56" s="29"/>
      <c r="E56" s="29" t="s">
        <v>89</v>
      </c>
      <c r="F56" s="40" t="s">
        <v>500</v>
      </c>
      <c r="G56" s="43"/>
      <c r="H56" s="43"/>
      <c r="I56" s="43" t="s">
        <v>810</v>
      </c>
      <c r="J56" s="172">
        <v>9.08</v>
      </c>
      <c r="K56" s="172">
        <v>8.16</v>
      </c>
      <c r="L56" s="172">
        <v>1207</v>
      </c>
      <c r="M56" s="172">
        <v>560</v>
      </c>
      <c r="N56" s="43"/>
      <c r="O56" s="43"/>
      <c r="P56" s="43">
        <v>5</v>
      </c>
      <c r="Q56" s="173" t="s">
        <v>1103</v>
      </c>
      <c r="R56" s="43"/>
      <c r="S56" s="43"/>
      <c r="T56" s="43"/>
      <c r="U56" s="43"/>
      <c r="V56" s="43"/>
      <c r="W56" s="43"/>
      <c r="X56" s="43"/>
      <c r="Y56" s="43"/>
      <c r="Z56" s="43"/>
      <c r="AA56" s="43"/>
      <c r="AB56" s="43"/>
      <c r="AC56" s="43"/>
      <c r="AD56" s="43">
        <v>1</v>
      </c>
      <c r="AE56" s="43"/>
      <c r="AF56" s="18"/>
      <c r="AG56" s="18"/>
      <c r="AH56" s="18"/>
      <c r="AI56" s="18"/>
      <c r="AJ56" s="18"/>
      <c r="AK56" s="18"/>
      <c r="AL56" s="18"/>
      <c r="AM56" s="18"/>
      <c r="AN56" s="18">
        <v>1</v>
      </c>
      <c r="AO56" s="18">
        <v>1</v>
      </c>
      <c r="AP56" s="18">
        <v>1</v>
      </c>
      <c r="AQ56" s="18"/>
      <c r="AR56" s="18"/>
      <c r="AS56" s="18">
        <v>3687500</v>
      </c>
      <c r="AT56" s="18"/>
      <c r="AU56" s="18"/>
      <c r="AV56" s="18"/>
      <c r="AW56" s="18"/>
      <c r="AX56" s="18"/>
      <c r="AY56" s="18"/>
      <c r="AZ56" s="43"/>
    </row>
    <row r="57" spans="1:74">
      <c r="A57" s="43" t="s">
        <v>26</v>
      </c>
      <c r="B57" s="29" t="s">
        <v>213</v>
      </c>
      <c r="C57" s="29" t="s">
        <v>91</v>
      </c>
      <c r="D57" s="29"/>
      <c r="E57" s="29" t="s">
        <v>89</v>
      </c>
      <c r="F57" s="43" t="s">
        <v>870</v>
      </c>
      <c r="G57" s="43" t="s">
        <v>500</v>
      </c>
      <c r="H57" s="43">
        <v>2</v>
      </c>
      <c r="I57" s="43" t="s">
        <v>30</v>
      </c>
      <c r="J57" s="43">
        <v>11.76</v>
      </c>
      <c r="K57" s="43"/>
      <c r="L57" s="43">
        <v>337</v>
      </c>
      <c r="M57" s="43">
        <v>229</v>
      </c>
      <c r="N57" s="43"/>
      <c r="O57" s="43"/>
      <c r="P57" s="43">
        <v>5</v>
      </c>
      <c r="Q57" s="173" t="s">
        <v>1103</v>
      </c>
      <c r="R57" s="43"/>
      <c r="S57" s="43"/>
      <c r="T57" s="43"/>
      <c r="U57" s="43"/>
      <c r="V57" s="43"/>
      <c r="W57" s="43"/>
      <c r="X57" s="43"/>
      <c r="Y57" s="43"/>
      <c r="Z57" s="43"/>
      <c r="AA57" s="43"/>
      <c r="AB57" s="43"/>
      <c r="AC57" s="43"/>
      <c r="AD57" s="43">
        <v>1</v>
      </c>
      <c r="AE57" s="43"/>
      <c r="AF57" s="18">
        <v>0.76800000000000002</v>
      </c>
      <c r="AG57" s="18"/>
      <c r="AH57" s="18"/>
      <c r="AI57" s="18"/>
      <c r="AJ57" s="18"/>
      <c r="AK57" s="18"/>
      <c r="AL57" s="18"/>
      <c r="AM57" s="18"/>
      <c r="AN57" s="18">
        <v>1</v>
      </c>
      <c r="AO57" s="18">
        <v>1</v>
      </c>
      <c r="AP57" s="18">
        <v>1</v>
      </c>
      <c r="AQ57" s="18"/>
      <c r="AR57" s="18"/>
      <c r="AS57" s="18"/>
      <c r="AT57" s="18"/>
      <c r="AU57" s="18"/>
      <c r="AV57" s="18"/>
      <c r="AW57" s="18"/>
      <c r="AX57" s="18"/>
      <c r="AY57" s="18"/>
      <c r="AZ57" s="43" t="s">
        <v>92</v>
      </c>
    </row>
    <row r="58" spans="1:74">
      <c r="A58" s="39" t="s">
        <v>26</v>
      </c>
      <c r="B58" s="27" t="s">
        <v>214</v>
      </c>
      <c r="C58" s="27" t="s">
        <v>163</v>
      </c>
      <c r="D58" s="27" t="s">
        <v>248</v>
      </c>
      <c r="E58" s="27" t="s">
        <v>93</v>
      </c>
      <c r="F58" s="39" t="s">
        <v>501</v>
      </c>
      <c r="G58" s="39"/>
      <c r="H58" s="39"/>
      <c r="I58" s="39" t="s">
        <v>38</v>
      </c>
      <c r="J58" s="39">
        <v>2</v>
      </c>
      <c r="K58" s="39"/>
      <c r="L58" s="39">
        <v>673</v>
      </c>
      <c r="M58" s="39">
        <v>499</v>
      </c>
      <c r="N58" s="39"/>
      <c r="O58" s="39"/>
      <c r="P58" s="39">
        <v>5</v>
      </c>
      <c r="Q58" s="173" t="s">
        <v>1103</v>
      </c>
      <c r="R58" s="39"/>
      <c r="S58" s="39"/>
      <c r="T58" s="39"/>
      <c r="U58" s="39"/>
      <c r="V58" s="39"/>
      <c r="W58" s="39"/>
      <c r="X58" s="39"/>
      <c r="Y58" s="39"/>
      <c r="Z58" s="39"/>
      <c r="AA58" s="39">
        <v>1</v>
      </c>
      <c r="AB58" s="39"/>
      <c r="AC58" s="39"/>
      <c r="AD58" s="39">
        <v>1</v>
      </c>
      <c r="AE58" s="39">
        <v>1</v>
      </c>
      <c r="AF58" s="10">
        <v>-168.316</v>
      </c>
      <c r="AG58" s="10">
        <v>-59.268000000000001</v>
      </c>
      <c r="AH58" s="10"/>
      <c r="AI58" s="10"/>
      <c r="AJ58" s="10"/>
      <c r="AK58" s="10"/>
      <c r="AL58" s="10"/>
      <c r="AM58" s="10"/>
      <c r="AN58" s="10">
        <v>1</v>
      </c>
      <c r="AO58" s="10">
        <v>1</v>
      </c>
      <c r="AP58" s="10">
        <v>1</v>
      </c>
      <c r="AQ58" s="10">
        <v>1</v>
      </c>
      <c r="AR58" s="10"/>
      <c r="AS58" s="10">
        <v>3687620</v>
      </c>
      <c r="AT58" s="10"/>
      <c r="AU58" s="10"/>
      <c r="AV58" s="10"/>
      <c r="AW58" s="10"/>
      <c r="AX58" s="10"/>
      <c r="AY58" s="10"/>
      <c r="AZ58" s="39"/>
    </row>
    <row r="59" spans="1:74" ht="13">
      <c r="A59" s="39" t="s">
        <v>26</v>
      </c>
      <c r="B59" s="28" t="s">
        <v>215</v>
      </c>
      <c r="C59" s="28" t="s">
        <v>164</v>
      </c>
      <c r="D59" s="28" t="s">
        <v>249</v>
      </c>
      <c r="E59" s="28" t="s">
        <v>94</v>
      </c>
      <c r="F59" s="39" t="s">
        <v>501</v>
      </c>
      <c r="G59" s="39"/>
      <c r="H59" s="39"/>
      <c r="I59" s="39" t="s">
        <v>38</v>
      </c>
      <c r="J59" s="39">
        <v>1.56</v>
      </c>
      <c r="K59" s="39"/>
      <c r="L59" s="2">
        <v>695</v>
      </c>
      <c r="M59" s="2">
        <v>526</v>
      </c>
      <c r="N59" s="39"/>
      <c r="O59" s="39"/>
      <c r="P59" s="39">
        <v>5</v>
      </c>
      <c r="Q59" s="173" t="s">
        <v>1103</v>
      </c>
      <c r="R59" s="39"/>
      <c r="S59" s="39"/>
      <c r="T59" s="39"/>
      <c r="U59" s="39"/>
      <c r="V59" s="39"/>
      <c r="W59" s="39"/>
      <c r="X59" s="39"/>
      <c r="Y59" s="39"/>
      <c r="Z59" s="39"/>
      <c r="AA59" s="39">
        <v>1</v>
      </c>
      <c r="AB59" s="39"/>
      <c r="AC59" s="39"/>
      <c r="AD59" s="39">
        <v>1</v>
      </c>
      <c r="AE59" s="39">
        <v>1</v>
      </c>
      <c r="AF59" s="117">
        <v>-8.5</v>
      </c>
      <c r="AG59" s="117">
        <v>-82.412000000000006</v>
      </c>
      <c r="AH59" s="10"/>
      <c r="AI59" s="10"/>
      <c r="AJ59" s="10"/>
      <c r="AK59" s="10"/>
      <c r="AL59" s="10"/>
      <c r="AM59" s="10"/>
      <c r="AN59" s="10">
        <v>1</v>
      </c>
      <c r="AO59" s="10">
        <v>1</v>
      </c>
      <c r="AP59" s="10">
        <v>1</v>
      </c>
      <c r="AQ59" s="10">
        <v>1</v>
      </c>
      <c r="AR59" s="10"/>
      <c r="AS59" s="10">
        <v>3687638</v>
      </c>
      <c r="AT59" s="10"/>
      <c r="AU59" s="10"/>
      <c r="AV59" s="10"/>
      <c r="AW59" s="10"/>
      <c r="AX59" s="10"/>
      <c r="AY59" s="10"/>
      <c r="AZ59" s="39"/>
    </row>
    <row r="60" spans="1:74">
      <c r="A60" s="40" t="s">
        <v>64</v>
      </c>
      <c r="B60" s="40" t="s">
        <v>216</v>
      </c>
      <c r="C60" s="40" t="s">
        <v>95</v>
      </c>
      <c r="D60" s="40"/>
      <c r="E60" s="40" t="s">
        <v>96</v>
      </c>
      <c r="F60" s="40"/>
      <c r="G60" s="40"/>
      <c r="H60" s="40"/>
      <c r="I60" s="40" t="s">
        <v>30</v>
      </c>
      <c r="J60" s="40">
        <v>17.63</v>
      </c>
      <c r="K60" s="40"/>
      <c r="L60" s="40">
        <v>408</v>
      </c>
      <c r="M60" s="40">
        <v>300</v>
      </c>
      <c r="N60" s="40"/>
      <c r="O60" s="40"/>
      <c r="P60" s="40">
        <v>5</v>
      </c>
      <c r="Q60" s="173" t="s">
        <v>1103</v>
      </c>
      <c r="R60" s="40"/>
      <c r="S60" s="40"/>
      <c r="T60" s="40"/>
      <c r="U60" s="40"/>
      <c r="V60" s="40"/>
      <c r="W60" s="40"/>
      <c r="X60" s="40"/>
      <c r="Y60" s="40"/>
      <c r="Z60" s="40"/>
      <c r="AA60" s="40">
        <v>1</v>
      </c>
      <c r="AB60" s="40"/>
      <c r="AC60" s="40"/>
      <c r="AD60" s="40"/>
      <c r="AE60" s="40"/>
      <c r="AF60" s="9"/>
      <c r="AG60" s="9"/>
      <c r="AH60" s="9"/>
      <c r="AI60" s="9"/>
      <c r="AJ60" s="9"/>
      <c r="AK60" s="9"/>
      <c r="AL60" s="9"/>
      <c r="AM60" s="9"/>
      <c r="AN60" s="9">
        <v>1</v>
      </c>
      <c r="AO60" s="9">
        <v>1</v>
      </c>
      <c r="AP60" s="9">
        <v>1</v>
      </c>
      <c r="AQ60" s="9"/>
      <c r="AR60" s="9"/>
      <c r="AS60" s="9"/>
      <c r="AT60" s="9"/>
      <c r="AU60" s="9"/>
      <c r="AV60" s="9"/>
      <c r="AW60" s="9"/>
      <c r="AX60" s="9"/>
      <c r="AY60" s="9"/>
      <c r="AZ60" s="40"/>
    </row>
    <row r="61" spans="1:74">
      <c r="A61" s="39" t="s">
        <v>26</v>
      </c>
      <c r="B61" s="26" t="s">
        <v>217</v>
      </c>
      <c r="C61" s="26" t="s">
        <v>165</v>
      </c>
      <c r="D61" s="26" t="s">
        <v>250</v>
      </c>
      <c r="E61" s="26" t="s">
        <v>97</v>
      </c>
      <c r="F61" s="39" t="s">
        <v>501</v>
      </c>
      <c r="G61" s="39"/>
      <c r="H61" s="39"/>
      <c r="I61" s="39" t="s">
        <v>38</v>
      </c>
      <c r="J61" s="39">
        <v>1.56</v>
      </c>
      <c r="K61" s="39"/>
      <c r="L61" s="39">
        <v>668</v>
      </c>
      <c r="M61" s="39">
        <v>515</v>
      </c>
      <c r="N61" s="39"/>
      <c r="O61" s="39"/>
      <c r="P61" s="39">
        <v>5</v>
      </c>
      <c r="Q61" s="173" t="s">
        <v>1103</v>
      </c>
      <c r="R61" s="39"/>
      <c r="S61" s="39"/>
      <c r="T61" s="39"/>
      <c r="U61" s="39"/>
      <c r="V61" s="39"/>
      <c r="W61" s="39"/>
      <c r="X61" s="39"/>
      <c r="Y61" s="39"/>
      <c r="Z61" s="39"/>
      <c r="AA61" s="39">
        <v>1</v>
      </c>
      <c r="AB61" s="39"/>
      <c r="AC61" s="39"/>
      <c r="AD61" s="39">
        <v>1</v>
      </c>
      <c r="AE61" s="39">
        <v>1</v>
      </c>
      <c r="AF61" s="10">
        <v>-7.9279999999999999</v>
      </c>
      <c r="AG61" s="10">
        <v>-82</v>
      </c>
      <c r="AH61" s="10"/>
      <c r="AI61" s="10"/>
      <c r="AJ61" s="10"/>
      <c r="AK61" s="10"/>
      <c r="AL61" s="10"/>
      <c r="AM61" s="10"/>
      <c r="AN61" s="10">
        <v>1</v>
      </c>
      <c r="AO61" s="10">
        <v>1</v>
      </c>
      <c r="AP61" s="10">
        <v>1</v>
      </c>
      <c r="AQ61" s="10">
        <v>1</v>
      </c>
      <c r="AR61" s="10"/>
      <c r="AS61" s="10">
        <v>3687625</v>
      </c>
      <c r="AT61" s="10"/>
      <c r="AU61" s="10"/>
      <c r="AV61" s="10"/>
      <c r="AW61" s="10"/>
      <c r="AX61" s="10"/>
      <c r="AY61" s="10"/>
      <c r="AZ61" s="39"/>
    </row>
    <row r="62" spans="1:74">
      <c r="A62" s="39" t="s">
        <v>26</v>
      </c>
      <c r="B62" s="27" t="s">
        <v>816</v>
      </c>
      <c r="C62" s="27" t="s">
        <v>166</v>
      </c>
      <c r="D62" s="27" t="s">
        <v>251</v>
      </c>
      <c r="E62" s="27" t="s">
        <v>98</v>
      </c>
      <c r="F62" s="39" t="s">
        <v>501</v>
      </c>
      <c r="G62" s="39"/>
      <c r="H62" s="39"/>
      <c r="I62" s="39" t="s">
        <v>38</v>
      </c>
      <c r="J62" s="39">
        <v>1.77</v>
      </c>
      <c r="K62" s="39"/>
      <c r="L62" s="39">
        <v>687</v>
      </c>
      <c r="M62" s="39">
        <v>502</v>
      </c>
      <c r="N62" s="39"/>
      <c r="O62" s="39"/>
      <c r="P62" s="39">
        <v>5</v>
      </c>
      <c r="Q62" s="173" t="s">
        <v>1103</v>
      </c>
      <c r="R62" s="39"/>
      <c r="S62" s="39"/>
      <c r="T62" s="39"/>
      <c r="U62" s="39"/>
      <c r="V62" s="39"/>
      <c r="W62" s="39"/>
      <c r="X62" s="39"/>
      <c r="Y62" s="39"/>
      <c r="Z62" s="39"/>
      <c r="AA62" s="39">
        <v>1</v>
      </c>
      <c r="AB62" s="39"/>
      <c r="AC62" s="39"/>
      <c r="AD62" s="39">
        <v>1</v>
      </c>
      <c r="AE62" s="39">
        <v>1</v>
      </c>
      <c r="AF62" s="10">
        <v>-33.4</v>
      </c>
      <c r="AG62" s="10">
        <v>-54.768000000000001</v>
      </c>
      <c r="AH62" s="10"/>
      <c r="AI62" s="10"/>
      <c r="AJ62" s="10"/>
      <c r="AK62" s="10"/>
      <c r="AL62" s="10"/>
      <c r="AM62" s="10"/>
      <c r="AN62" s="10">
        <v>1</v>
      </c>
      <c r="AO62" s="10">
        <v>1</v>
      </c>
      <c r="AP62" s="10">
        <v>1</v>
      </c>
      <c r="AQ62" s="10">
        <v>1</v>
      </c>
      <c r="AR62" s="10"/>
      <c r="AS62" s="10">
        <v>3687500</v>
      </c>
      <c r="AT62" s="10"/>
      <c r="AU62" s="10"/>
      <c r="AV62" s="10"/>
      <c r="AW62" s="10"/>
      <c r="AX62" s="10"/>
      <c r="AY62" s="10"/>
      <c r="AZ62" s="39"/>
    </row>
    <row r="63" spans="1:74">
      <c r="A63" s="39" t="s">
        <v>26</v>
      </c>
      <c r="B63" s="27" t="s">
        <v>298</v>
      </c>
      <c r="C63" s="46" t="s">
        <v>382</v>
      </c>
      <c r="D63" s="27" t="s">
        <v>252</v>
      </c>
      <c r="E63" s="27" t="s">
        <v>100</v>
      </c>
      <c r="F63" s="39" t="s">
        <v>501</v>
      </c>
      <c r="G63" s="39" t="s">
        <v>77</v>
      </c>
      <c r="H63" s="39">
        <v>1</v>
      </c>
      <c r="I63" s="39" t="s">
        <v>38</v>
      </c>
      <c r="J63" s="39">
        <v>3.24</v>
      </c>
      <c r="K63" s="39"/>
      <c r="L63" s="39">
        <v>673</v>
      </c>
      <c r="M63" s="39">
        <v>499</v>
      </c>
      <c r="N63" s="39"/>
      <c r="O63" s="39"/>
      <c r="P63" s="39">
        <v>5</v>
      </c>
      <c r="Q63" s="173" t="s">
        <v>1103</v>
      </c>
      <c r="R63" s="39"/>
      <c r="S63" s="39"/>
      <c r="T63" s="39"/>
      <c r="U63" s="39"/>
      <c r="V63" s="39"/>
      <c r="W63" s="39"/>
      <c r="X63" s="39"/>
      <c r="Y63" s="39"/>
      <c r="Z63" s="39"/>
      <c r="AA63" s="39">
        <v>1</v>
      </c>
      <c r="AB63" s="39"/>
      <c r="AC63" s="39"/>
      <c r="AD63" s="39">
        <v>1</v>
      </c>
      <c r="AE63" s="39"/>
      <c r="AF63" s="10">
        <v>5.96</v>
      </c>
      <c r="AG63" s="10"/>
      <c r="AH63" s="10"/>
      <c r="AI63" s="10"/>
      <c r="AJ63" s="10"/>
      <c r="AK63" s="10"/>
      <c r="AL63" s="10"/>
      <c r="AM63" s="10"/>
      <c r="AN63" s="10">
        <v>1</v>
      </c>
      <c r="AO63" s="10">
        <v>1</v>
      </c>
      <c r="AP63" s="10">
        <v>1</v>
      </c>
      <c r="AQ63" s="10">
        <v>1</v>
      </c>
      <c r="AR63" s="10"/>
      <c r="AS63" s="10">
        <v>3687490</v>
      </c>
      <c r="AT63" s="10"/>
      <c r="AU63" s="10"/>
      <c r="AV63" s="10"/>
      <c r="AW63" s="10"/>
      <c r="AX63" s="10"/>
      <c r="AY63" s="10"/>
      <c r="AZ63" s="39" t="s">
        <v>253</v>
      </c>
    </row>
    <row r="64" spans="1:74">
      <c r="A64" s="43" t="s">
        <v>26</v>
      </c>
      <c r="B64" s="29" t="s">
        <v>219</v>
      </c>
      <c r="C64" s="29" t="s">
        <v>99</v>
      </c>
      <c r="D64" s="29"/>
      <c r="E64" s="29" t="s">
        <v>100</v>
      </c>
      <c r="F64" s="39" t="s">
        <v>500</v>
      </c>
      <c r="G64" s="43"/>
      <c r="H64" s="43"/>
      <c r="I64" s="43" t="s">
        <v>30</v>
      </c>
      <c r="J64" s="43">
        <v>225</v>
      </c>
      <c r="K64" s="43"/>
      <c r="L64" s="43">
        <v>408</v>
      </c>
      <c r="M64" s="43">
        <v>300</v>
      </c>
      <c r="N64" s="43"/>
      <c r="O64" s="43"/>
      <c r="P64" s="43">
        <v>5</v>
      </c>
      <c r="Q64" s="173" t="s">
        <v>1103</v>
      </c>
      <c r="R64" s="43"/>
      <c r="S64" s="43"/>
      <c r="T64" s="43"/>
      <c r="U64" s="43"/>
      <c r="V64" s="43"/>
      <c r="W64" s="43"/>
      <c r="X64" s="43"/>
      <c r="Y64" s="43"/>
      <c r="Z64" s="43"/>
      <c r="AA64" s="43"/>
      <c r="AB64" s="43">
        <v>1</v>
      </c>
      <c r="AC64" s="43"/>
      <c r="AD64" s="43"/>
      <c r="AE64" s="43"/>
      <c r="AF64" s="18"/>
      <c r="AG64" s="18"/>
      <c r="AH64" s="18"/>
      <c r="AI64" s="18"/>
      <c r="AJ64" s="18"/>
      <c r="AK64" s="18"/>
      <c r="AL64" s="18"/>
      <c r="AM64" s="18"/>
      <c r="AN64" s="18">
        <v>1</v>
      </c>
      <c r="AO64" s="18">
        <v>1</v>
      </c>
      <c r="AP64" s="18">
        <v>1</v>
      </c>
      <c r="AQ64" s="18"/>
      <c r="AR64" s="18"/>
      <c r="AS64" s="18">
        <v>3687500</v>
      </c>
      <c r="AT64" s="18"/>
      <c r="AU64" s="18"/>
      <c r="AV64" s="18"/>
      <c r="AW64" s="18"/>
      <c r="AX64" s="18"/>
      <c r="AY64" s="18"/>
      <c r="AZ64" s="43"/>
    </row>
    <row r="65" spans="1:52" s="11" customFormat="1">
      <c r="A65" s="42" t="s">
        <v>26</v>
      </c>
      <c r="B65" s="28" t="s">
        <v>220</v>
      </c>
      <c r="C65" s="28" t="s">
        <v>101</v>
      </c>
      <c r="D65" s="28"/>
      <c r="E65" s="28" t="s">
        <v>100</v>
      </c>
      <c r="F65" s="42" t="s">
        <v>29</v>
      </c>
      <c r="G65" s="42"/>
      <c r="H65" s="42"/>
      <c r="I65" s="42" t="s">
        <v>38</v>
      </c>
      <c r="J65" s="42">
        <v>145</v>
      </c>
      <c r="K65" s="42"/>
      <c r="L65" s="42"/>
      <c r="M65" s="42"/>
      <c r="N65" s="42"/>
      <c r="O65" s="42"/>
      <c r="P65" s="42">
        <v>5</v>
      </c>
      <c r="Q65" s="173" t="s">
        <v>1103</v>
      </c>
      <c r="R65" s="42"/>
      <c r="S65" s="42"/>
      <c r="T65" s="42"/>
      <c r="U65" s="42"/>
      <c r="V65" s="42"/>
      <c r="W65" s="42"/>
      <c r="X65" s="42"/>
      <c r="Y65" s="42"/>
      <c r="Z65" s="42"/>
      <c r="AA65" s="42"/>
      <c r="AB65" s="42">
        <v>1</v>
      </c>
      <c r="AC65" s="42"/>
      <c r="AD65" s="42"/>
      <c r="AE65" s="42"/>
      <c r="AF65" s="15"/>
      <c r="AG65" s="15"/>
      <c r="AH65" s="15"/>
      <c r="AI65" s="15"/>
      <c r="AJ65" s="15"/>
      <c r="AK65" s="15"/>
      <c r="AL65" s="15"/>
      <c r="AM65" s="15"/>
      <c r="AN65" s="15">
        <v>1</v>
      </c>
      <c r="AO65" s="15">
        <v>1</v>
      </c>
      <c r="AP65" s="15">
        <v>1</v>
      </c>
      <c r="AQ65" s="15"/>
      <c r="AR65" s="15"/>
      <c r="AS65" s="10"/>
      <c r="AT65" s="15"/>
      <c r="AU65" s="15"/>
      <c r="AV65" s="15"/>
      <c r="AW65" s="15"/>
      <c r="AX65" s="15"/>
      <c r="AY65" s="15"/>
      <c r="AZ65" s="42"/>
    </row>
    <row r="66" spans="1:52">
      <c r="A66" s="43" t="s">
        <v>26</v>
      </c>
      <c r="B66" s="29" t="s">
        <v>263</v>
      </c>
      <c r="C66" s="29" t="s">
        <v>261</v>
      </c>
      <c r="D66" s="29"/>
      <c r="E66" s="29" t="s">
        <v>102</v>
      </c>
      <c r="F66" s="39" t="s">
        <v>500</v>
      </c>
      <c r="G66" s="43"/>
      <c r="H66" s="43">
        <v>1</v>
      </c>
      <c r="I66" s="173" t="s">
        <v>810</v>
      </c>
      <c r="J66" s="43">
        <v>7.84</v>
      </c>
      <c r="K66" s="43">
        <v>7.37</v>
      </c>
      <c r="L66" s="43">
        <v>944</v>
      </c>
      <c r="M66" s="43">
        <v>643</v>
      </c>
      <c r="N66" s="43"/>
      <c r="O66" s="43"/>
      <c r="P66" s="43">
        <v>5</v>
      </c>
      <c r="Q66" s="173" t="s">
        <v>1103</v>
      </c>
      <c r="R66" s="43"/>
      <c r="S66" s="43"/>
      <c r="T66" s="43"/>
      <c r="U66" s="43"/>
      <c r="V66" s="43"/>
      <c r="W66" s="43"/>
      <c r="X66" s="43"/>
      <c r="Y66" s="43"/>
      <c r="Z66" s="43"/>
      <c r="AA66" s="43"/>
      <c r="AB66" s="43"/>
      <c r="AC66" s="18"/>
      <c r="AD66" s="18"/>
      <c r="AE66" s="18"/>
      <c r="AF66" s="18"/>
      <c r="AG66" s="18"/>
      <c r="AH66" s="18"/>
      <c r="AI66" s="18"/>
      <c r="AJ66" s="18"/>
      <c r="AK66" s="18"/>
      <c r="AL66" s="18"/>
      <c r="AM66" s="18"/>
      <c r="AN66" s="18">
        <v>1</v>
      </c>
      <c r="AO66" s="18"/>
      <c r="AP66" s="18"/>
      <c r="AQ66" s="18"/>
      <c r="AR66" s="18">
        <v>1</v>
      </c>
      <c r="AS66" s="18"/>
      <c r="AT66" s="18"/>
      <c r="AU66" s="18"/>
      <c r="AV66" s="18"/>
      <c r="AW66" s="18"/>
      <c r="AX66" s="18"/>
      <c r="AY66" s="18"/>
      <c r="AZ66" s="43"/>
    </row>
    <row r="67" spans="1:52">
      <c r="A67" s="43" t="s">
        <v>26</v>
      </c>
      <c r="B67" s="29" t="s">
        <v>264</v>
      </c>
      <c r="C67" s="29" t="s">
        <v>262</v>
      </c>
      <c r="D67" s="29"/>
      <c r="E67" s="29" t="s">
        <v>102</v>
      </c>
      <c r="F67" s="39" t="s">
        <v>500</v>
      </c>
      <c r="G67" s="43"/>
      <c r="H67" s="43">
        <v>1</v>
      </c>
      <c r="I67" s="43" t="s">
        <v>810</v>
      </c>
      <c r="J67" s="173">
        <v>8.5500000000000007</v>
      </c>
      <c r="K67" s="173">
        <v>7.32</v>
      </c>
      <c r="L67" s="173">
        <v>876</v>
      </c>
      <c r="M67" s="173">
        <v>669.5</v>
      </c>
      <c r="N67" s="43"/>
      <c r="O67" s="43"/>
      <c r="P67" s="43">
        <v>5</v>
      </c>
      <c r="Q67" s="173" t="s">
        <v>1103</v>
      </c>
      <c r="R67" s="43"/>
      <c r="S67" s="43"/>
      <c r="T67" s="43"/>
      <c r="U67" s="43"/>
      <c r="V67" s="43"/>
      <c r="W67" s="43"/>
      <c r="X67" s="43"/>
      <c r="Y67" s="43"/>
      <c r="Z67" s="43"/>
      <c r="AA67" s="43"/>
      <c r="AB67" s="43"/>
      <c r="AC67" s="18"/>
      <c r="AD67" s="18">
        <v>1</v>
      </c>
      <c r="AE67" s="18"/>
      <c r="AF67" s="18"/>
      <c r="AG67" s="18"/>
      <c r="AH67" s="18"/>
      <c r="AI67" s="18"/>
      <c r="AJ67" s="18"/>
      <c r="AK67" s="18"/>
      <c r="AL67" s="18"/>
      <c r="AM67" s="18"/>
      <c r="AN67" s="18">
        <v>1</v>
      </c>
      <c r="AO67" s="18"/>
      <c r="AP67" s="18"/>
      <c r="AQ67" s="18"/>
      <c r="AR67" s="18"/>
      <c r="AS67" s="18"/>
      <c r="AT67" s="18"/>
      <c r="AU67" s="18"/>
      <c r="AV67" s="18"/>
      <c r="AW67" s="18"/>
      <c r="AX67" s="18"/>
      <c r="AY67" s="18"/>
      <c r="AZ67" s="43"/>
    </row>
    <row r="68" spans="1:52">
      <c r="A68" s="43" t="s">
        <v>26</v>
      </c>
      <c r="B68" s="29" t="s">
        <v>265</v>
      </c>
      <c r="C68" s="29" t="s">
        <v>106</v>
      </c>
      <c r="D68" s="29"/>
      <c r="E68" s="29" t="s">
        <v>102</v>
      </c>
      <c r="F68" s="39" t="s">
        <v>500</v>
      </c>
      <c r="G68" s="43"/>
      <c r="H68" s="43">
        <v>1</v>
      </c>
      <c r="I68" s="173" t="s">
        <v>810</v>
      </c>
      <c r="J68" s="43">
        <v>7.6</v>
      </c>
      <c r="K68" s="43">
        <v>7.14</v>
      </c>
      <c r="L68" s="43">
        <v>891</v>
      </c>
      <c r="M68" s="43">
        <v>622</v>
      </c>
      <c r="N68" s="43"/>
      <c r="O68" s="43"/>
      <c r="P68" s="43">
        <v>5</v>
      </c>
      <c r="Q68" s="173" t="s">
        <v>1103</v>
      </c>
      <c r="R68" s="43"/>
      <c r="S68" s="43"/>
      <c r="T68" s="43"/>
      <c r="U68" s="43"/>
      <c r="V68" s="43"/>
      <c r="W68" s="43"/>
      <c r="X68" s="43"/>
      <c r="Y68" s="43"/>
      <c r="Z68" s="43"/>
      <c r="AA68" s="43"/>
      <c r="AB68" s="43"/>
      <c r="AC68" s="18"/>
      <c r="AD68" s="18"/>
      <c r="AE68" s="18"/>
      <c r="AF68" s="18"/>
      <c r="AG68" s="18"/>
      <c r="AH68" s="18"/>
      <c r="AI68" s="18"/>
      <c r="AJ68" s="18"/>
      <c r="AK68" s="18"/>
      <c r="AL68" s="18"/>
      <c r="AM68" s="18"/>
      <c r="AN68" s="18">
        <v>1</v>
      </c>
      <c r="AO68" s="18"/>
      <c r="AP68" s="18"/>
      <c r="AQ68" s="18"/>
      <c r="AR68" s="18"/>
      <c r="AS68" s="18"/>
      <c r="AT68" s="18"/>
      <c r="AU68" s="18"/>
      <c r="AV68" s="18"/>
      <c r="AW68" s="18"/>
      <c r="AX68" s="18"/>
      <c r="AY68" s="18"/>
      <c r="AZ68" s="43"/>
    </row>
    <row r="69" spans="1:52">
      <c r="A69" s="43" t="s">
        <v>26</v>
      </c>
      <c r="B69" s="29" t="s">
        <v>266</v>
      </c>
      <c r="C69" s="29" t="s">
        <v>107</v>
      </c>
      <c r="D69" s="29"/>
      <c r="E69" s="29" t="s">
        <v>102</v>
      </c>
      <c r="F69" s="43" t="s">
        <v>141</v>
      </c>
      <c r="G69" s="43"/>
      <c r="H69" s="43">
        <v>1</v>
      </c>
      <c r="I69" s="43" t="s">
        <v>30</v>
      </c>
      <c r="J69" s="43">
        <v>19.63</v>
      </c>
      <c r="K69" s="43"/>
      <c r="L69" s="43">
        <v>360</v>
      </c>
      <c r="M69" s="43">
        <v>292</v>
      </c>
      <c r="N69" s="43"/>
      <c r="O69" s="43"/>
      <c r="P69" s="43">
        <v>5</v>
      </c>
      <c r="Q69" s="173" t="s">
        <v>1103</v>
      </c>
      <c r="R69" s="43"/>
      <c r="S69" s="43"/>
      <c r="T69" s="43"/>
      <c r="U69" s="43"/>
      <c r="V69" s="43"/>
      <c r="W69" s="43"/>
      <c r="X69" s="43"/>
      <c r="Y69" s="43"/>
      <c r="Z69" s="43"/>
      <c r="AA69" s="43"/>
      <c r="AB69" s="43"/>
      <c r="AC69" s="18"/>
      <c r="AD69" s="18"/>
      <c r="AE69" s="18"/>
      <c r="AF69" s="18"/>
      <c r="AG69" s="18"/>
      <c r="AH69" s="18"/>
      <c r="AI69" s="18"/>
      <c r="AJ69" s="18"/>
      <c r="AK69" s="18"/>
      <c r="AL69" s="18"/>
      <c r="AM69" s="18"/>
      <c r="AN69" s="18">
        <v>1</v>
      </c>
      <c r="AO69" s="18"/>
      <c r="AP69" s="18"/>
      <c r="AQ69" s="18"/>
      <c r="AR69" s="18"/>
      <c r="AS69" s="18"/>
      <c r="AT69" s="18"/>
      <c r="AU69" s="18"/>
      <c r="AV69" s="18"/>
      <c r="AW69" s="18"/>
      <c r="AX69" s="18"/>
      <c r="AY69" s="18"/>
      <c r="AZ69" s="43"/>
    </row>
    <row r="70" spans="1:52">
      <c r="A70" s="43" t="s">
        <v>26</v>
      </c>
      <c r="B70" s="29" t="s">
        <v>267</v>
      </c>
      <c r="C70" s="29" t="s">
        <v>108</v>
      </c>
      <c r="D70" s="29"/>
      <c r="E70" s="29" t="s">
        <v>102</v>
      </c>
      <c r="F70" s="43" t="s">
        <v>141</v>
      </c>
      <c r="G70" s="43"/>
      <c r="H70" s="43">
        <v>1</v>
      </c>
      <c r="I70" s="43" t="s">
        <v>30</v>
      </c>
      <c r="J70" s="43">
        <v>20.384615384615383</v>
      </c>
      <c r="K70" s="43"/>
      <c r="L70" s="43">
        <v>359</v>
      </c>
      <c r="M70" s="43">
        <v>292</v>
      </c>
      <c r="N70" s="43"/>
      <c r="O70" s="43"/>
      <c r="P70" s="43">
        <v>5</v>
      </c>
      <c r="Q70" s="173" t="s">
        <v>1103</v>
      </c>
      <c r="R70" s="43"/>
      <c r="S70" s="43"/>
      <c r="T70" s="43"/>
      <c r="U70" s="43"/>
      <c r="V70" s="43"/>
      <c r="W70" s="43"/>
      <c r="X70" s="43"/>
      <c r="Y70" s="43"/>
      <c r="Z70" s="43"/>
      <c r="AA70" s="43"/>
      <c r="AB70" s="43"/>
      <c r="AC70" s="18"/>
      <c r="AD70" s="18"/>
      <c r="AE70" s="18"/>
      <c r="AF70" s="18"/>
      <c r="AG70" s="18"/>
      <c r="AH70" s="18"/>
      <c r="AI70" s="18"/>
      <c r="AJ70" s="18"/>
      <c r="AK70" s="18"/>
      <c r="AL70" s="18"/>
      <c r="AM70" s="18"/>
      <c r="AN70" s="18">
        <v>1</v>
      </c>
      <c r="AO70" s="18"/>
      <c r="AP70" s="18"/>
      <c r="AQ70" s="18"/>
      <c r="AR70" s="18"/>
      <c r="AS70" s="18"/>
      <c r="AT70" s="18"/>
      <c r="AU70" s="18"/>
      <c r="AV70" s="18"/>
      <c r="AW70" s="18"/>
      <c r="AX70" s="18"/>
      <c r="AY70" s="18"/>
      <c r="AZ70" s="43"/>
    </row>
    <row r="71" spans="1:52">
      <c r="A71" s="43" t="s">
        <v>26</v>
      </c>
      <c r="B71" s="29" t="s">
        <v>268</v>
      </c>
      <c r="C71" s="29" t="s">
        <v>109</v>
      </c>
      <c r="D71" s="29"/>
      <c r="E71" s="29" t="s">
        <v>102</v>
      </c>
      <c r="F71" s="43" t="s">
        <v>141</v>
      </c>
      <c r="G71" s="43"/>
      <c r="H71" s="43">
        <v>1</v>
      </c>
      <c r="I71" s="43" t="s">
        <v>30</v>
      </c>
      <c r="J71" s="43">
        <v>20.384615384615383</v>
      </c>
      <c r="K71" s="43"/>
      <c r="L71" s="43">
        <v>359</v>
      </c>
      <c r="M71" s="43">
        <v>286</v>
      </c>
      <c r="N71" s="43"/>
      <c r="O71" s="43"/>
      <c r="P71" s="43">
        <v>5</v>
      </c>
      <c r="Q71" s="173" t="s">
        <v>1103</v>
      </c>
      <c r="R71" s="43"/>
      <c r="S71" s="43"/>
      <c r="T71" s="43"/>
      <c r="U71" s="43"/>
      <c r="V71" s="43"/>
      <c r="W71" s="43"/>
      <c r="X71" s="43"/>
      <c r="Y71" s="43"/>
      <c r="Z71" s="43"/>
      <c r="AA71" s="43"/>
      <c r="AB71" s="43"/>
      <c r="AC71" s="18"/>
      <c r="AD71" s="18"/>
      <c r="AE71" s="18"/>
      <c r="AF71" s="18"/>
      <c r="AG71" s="18"/>
      <c r="AH71" s="18"/>
      <c r="AI71" s="18"/>
      <c r="AJ71" s="18"/>
      <c r="AK71" s="18"/>
      <c r="AL71" s="18"/>
      <c r="AM71" s="18"/>
      <c r="AN71" s="18">
        <v>1</v>
      </c>
      <c r="AO71" s="18"/>
      <c r="AP71" s="18"/>
      <c r="AQ71" s="18"/>
      <c r="AR71" s="18"/>
      <c r="AS71" s="18"/>
      <c r="AT71" s="18"/>
      <c r="AU71" s="18"/>
      <c r="AV71" s="18"/>
      <c r="AW71" s="18"/>
      <c r="AX71" s="18"/>
      <c r="AY71" s="18"/>
      <c r="AZ71" s="43"/>
    </row>
    <row r="72" spans="1:52">
      <c r="A72" s="43" t="s">
        <v>26</v>
      </c>
      <c r="B72" s="29" t="s">
        <v>269</v>
      </c>
      <c r="C72" s="29" t="s">
        <v>110</v>
      </c>
      <c r="D72" s="29"/>
      <c r="E72" s="29" t="s">
        <v>102</v>
      </c>
      <c r="F72" s="43" t="s">
        <v>141</v>
      </c>
      <c r="G72" s="43"/>
      <c r="H72" s="43">
        <v>1</v>
      </c>
      <c r="I72" s="43" t="s">
        <v>30</v>
      </c>
      <c r="J72" s="43">
        <v>19.62962962962963</v>
      </c>
      <c r="K72" s="43"/>
      <c r="L72" s="43">
        <v>436</v>
      </c>
      <c r="M72" s="43">
        <v>292</v>
      </c>
      <c r="N72" s="43"/>
      <c r="O72" s="43"/>
      <c r="P72" s="43">
        <v>5</v>
      </c>
      <c r="Q72" s="173" t="s">
        <v>1103</v>
      </c>
      <c r="R72" s="43"/>
      <c r="S72" s="43"/>
      <c r="T72" s="43"/>
      <c r="U72" s="43"/>
      <c r="V72" s="43"/>
      <c r="W72" s="43"/>
      <c r="X72" s="43"/>
      <c r="Y72" s="43"/>
      <c r="Z72" s="43"/>
      <c r="AA72" s="43"/>
      <c r="AB72" s="43"/>
      <c r="AC72" s="18"/>
      <c r="AD72" s="18"/>
      <c r="AE72" s="18"/>
      <c r="AF72" s="18"/>
      <c r="AG72" s="18"/>
      <c r="AH72" s="18"/>
      <c r="AI72" s="18"/>
      <c r="AJ72" s="18"/>
      <c r="AK72" s="18"/>
      <c r="AL72" s="18"/>
      <c r="AM72" s="18"/>
      <c r="AN72" s="18">
        <v>1</v>
      </c>
      <c r="AO72" s="18"/>
      <c r="AP72" s="18"/>
      <c r="AQ72" s="18"/>
      <c r="AR72" s="18"/>
      <c r="AS72" s="18"/>
      <c r="AT72" s="18"/>
      <c r="AU72" s="18"/>
      <c r="AV72" s="18"/>
      <c r="AW72" s="18"/>
      <c r="AX72" s="18"/>
      <c r="AY72" s="18"/>
      <c r="AZ72" s="43"/>
    </row>
    <row r="73" spans="1:52">
      <c r="A73" s="43" t="s">
        <v>26</v>
      </c>
      <c r="B73" s="29" t="s">
        <v>270</v>
      </c>
      <c r="C73" s="29" t="s">
        <v>111</v>
      </c>
      <c r="D73" s="29"/>
      <c r="E73" s="29" t="s">
        <v>102</v>
      </c>
      <c r="F73" s="43" t="s">
        <v>141</v>
      </c>
      <c r="G73" s="43"/>
      <c r="H73" s="43">
        <v>1</v>
      </c>
      <c r="I73" s="43" t="s">
        <v>30</v>
      </c>
      <c r="J73" s="43">
        <v>19.62962962962963</v>
      </c>
      <c r="K73" s="43"/>
      <c r="L73" s="43">
        <v>294</v>
      </c>
      <c r="M73" s="43">
        <v>285</v>
      </c>
      <c r="N73" s="43"/>
      <c r="O73" s="43"/>
      <c r="P73" s="43">
        <v>5</v>
      </c>
      <c r="Q73" s="173" t="s">
        <v>1103</v>
      </c>
      <c r="R73" s="43"/>
      <c r="S73" s="43"/>
      <c r="T73" s="43"/>
      <c r="U73" s="43"/>
      <c r="V73" s="43"/>
      <c r="W73" s="43"/>
      <c r="X73" s="43"/>
      <c r="Y73" s="43"/>
      <c r="Z73" s="43"/>
      <c r="AA73" s="43"/>
      <c r="AB73" s="43"/>
      <c r="AC73" s="18"/>
      <c r="AD73" s="18"/>
      <c r="AE73" s="18"/>
      <c r="AF73" s="18"/>
      <c r="AG73" s="18"/>
      <c r="AH73" s="18"/>
      <c r="AI73" s="18"/>
      <c r="AJ73" s="18"/>
      <c r="AK73" s="18"/>
      <c r="AL73" s="18"/>
      <c r="AM73" s="18"/>
      <c r="AN73" s="18">
        <v>1</v>
      </c>
      <c r="AO73" s="18"/>
      <c r="AP73" s="18"/>
      <c r="AQ73" s="18"/>
      <c r="AR73" s="18"/>
      <c r="AS73" s="18"/>
      <c r="AT73" s="18"/>
      <c r="AU73" s="18"/>
      <c r="AV73" s="18"/>
      <c r="AW73" s="18"/>
      <c r="AX73" s="18"/>
      <c r="AY73" s="18"/>
      <c r="AZ73" s="43"/>
    </row>
    <row r="74" spans="1:52">
      <c r="A74" s="43" t="s">
        <v>26</v>
      </c>
      <c r="B74" s="29" t="s">
        <v>271</v>
      </c>
      <c r="C74" s="29" t="s">
        <v>112</v>
      </c>
      <c r="D74" s="29"/>
      <c r="E74" s="29" t="s">
        <v>102</v>
      </c>
      <c r="F74" s="43" t="s">
        <v>141</v>
      </c>
      <c r="G74" s="43"/>
      <c r="H74" s="43">
        <v>1</v>
      </c>
      <c r="I74" s="43" t="s">
        <v>30</v>
      </c>
      <c r="J74" s="43">
        <v>19.62962962962963</v>
      </c>
      <c r="K74" s="43"/>
      <c r="L74" s="43">
        <v>367</v>
      </c>
      <c r="M74" s="43">
        <v>297</v>
      </c>
      <c r="N74" s="43"/>
      <c r="O74" s="43"/>
      <c r="P74" s="43">
        <v>5</v>
      </c>
      <c r="Q74" s="173" t="s">
        <v>1103</v>
      </c>
      <c r="R74" s="43"/>
      <c r="S74" s="43"/>
      <c r="T74" s="43"/>
      <c r="U74" s="43"/>
      <c r="V74" s="43"/>
      <c r="W74" s="43"/>
      <c r="X74" s="43"/>
      <c r="Y74" s="43"/>
      <c r="Z74" s="43"/>
      <c r="AA74" s="43"/>
      <c r="AB74" s="43"/>
      <c r="AC74" s="18"/>
      <c r="AD74" s="18"/>
      <c r="AE74" s="18"/>
      <c r="AF74" s="18"/>
      <c r="AG74" s="18"/>
      <c r="AH74" s="18"/>
      <c r="AI74" s="18"/>
      <c r="AJ74" s="18"/>
      <c r="AK74" s="18"/>
      <c r="AL74" s="18"/>
      <c r="AM74" s="18"/>
      <c r="AN74" s="18">
        <v>1</v>
      </c>
      <c r="AO74" s="18"/>
      <c r="AP74" s="18"/>
      <c r="AQ74" s="18"/>
      <c r="AR74" s="18"/>
      <c r="AS74" s="18"/>
      <c r="AT74" s="18"/>
      <c r="AU74" s="18"/>
      <c r="AV74" s="18"/>
      <c r="AW74" s="18"/>
      <c r="AX74" s="18"/>
      <c r="AY74" s="18"/>
      <c r="AZ74" s="43"/>
    </row>
    <row r="75" spans="1:52">
      <c r="A75" s="43" t="s">
        <v>26</v>
      </c>
      <c r="B75" s="29" t="s">
        <v>221</v>
      </c>
      <c r="C75" s="29" t="s">
        <v>113</v>
      </c>
      <c r="D75" s="29"/>
      <c r="E75" s="29" t="s">
        <v>102</v>
      </c>
      <c r="F75" s="43" t="s">
        <v>141</v>
      </c>
      <c r="G75" s="43"/>
      <c r="H75" s="43">
        <v>1</v>
      </c>
      <c r="I75" s="43" t="s">
        <v>30</v>
      </c>
      <c r="J75" s="43">
        <v>20</v>
      </c>
      <c r="K75" s="43"/>
      <c r="L75" s="43">
        <v>411</v>
      </c>
      <c r="M75" s="43">
        <v>286</v>
      </c>
      <c r="N75" s="43"/>
      <c r="O75" s="43"/>
      <c r="P75" s="43">
        <v>5</v>
      </c>
      <c r="Q75" s="173" t="s">
        <v>1103</v>
      </c>
      <c r="R75" s="43"/>
      <c r="S75" s="43"/>
      <c r="T75" s="43"/>
      <c r="U75" s="43"/>
      <c r="V75" s="43"/>
      <c r="W75" s="43"/>
      <c r="X75" s="43"/>
      <c r="Y75" s="43"/>
      <c r="Z75" s="43"/>
      <c r="AA75" s="43"/>
      <c r="AB75" s="43"/>
      <c r="AC75" s="18"/>
      <c r="AD75" s="18"/>
      <c r="AE75" s="18"/>
      <c r="AF75" s="18"/>
      <c r="AG75" s="18"/>
      <c r="AH75" s="18"/>
      <c r="AI75" s="18"/>
      <c r="AJ75" s="18"/>
      <c r="AK75" s="18"/>
      <c r="AL75" s="18"/>
      <c r="AM75" s="18"/>
      <c r="AN75" s="18">
        <v>1</v>
      </c>
      <c r="AO75" s="18"/>
      <c r="AP75" s="18"/>
      <c r="AQ75" s="18"/>
      <c r="AR75" s="18"/>
      <c r="AS75" s="18"/>
      <c r="AT75" s="18"/>
      <c r="AU75" s="18"/>
      <c r="AV75" s="18"/>
      <c r="AW75" s="18"/>
      <c r="AX75" s="18"/>
      <c r="AY75" s="18"/>
      <c r="AZ75" s="43"/>
    </row>
    <row r="76" spans="1:52">
      <c r="A76" s="43" t="s">
        <v>26</v>
      </c>
      <c r="B76" s="29" t="s">
        <v>222</v>
      </c>
      <c r="C76" s="29" t="s">
        <v>114</v>
      </c>
      <c r="D76" s="29"/>
      <c r="E76" s="29" t="s">
        <v>102</v>
      </c>
      <c r="F76" s="43" t="s">
        <v>141</v>
      </c>
      <c r="G76" s="43"/>
      <c r="H76" s="43">
        <v>1</v>
      </c>
      <c r="I76" s="43" t="s">
        <v>30</v>
      </c>
      <c r="J76" s="43">
        <v>19.272727272727273</v>
      </c>
      <c r="K76" s="43"/>
      <c r="L76" s="43">
        <v>404</v>
      </c>
      <c r="M76" s="43">
        <v>273</v>
      </c>
      <c r="N76" s="43"/>
      <c r="O76" s="43"/>
      <c r="P76" s="43">
        <v>5</v>
      </c>
      <c r="Q76" s="173" t="s">
        <v>1103</v>
      </c>
      <c r="R76" s="43"/>
      <c r="S76" s="43"/>
      <c r="T76" s="43"/>
      <c r="U76" s="43"/>
      <c r="V76" s="43"/>
      <c r="W76" s="43"/>
      <c r="X76" s="43"/>
      <c r="Y76" s="43"/>
      <c r="Z76" s="43"/>
      <c r="AA76" s="43"/>
      <c r="AB76" s="43"/>
      <c r="AC76" s="18"/>
      <c r="AD76" s="18"/>
      <c r="AE76" s="18"/>
      <c r="AF76" s="18"/>
      <c r="AG76" s="18"/>
      <c r="AH76" s="18"/>
      <c r="AI76" s="18"/>
      <c r="AJ76" s="18"/>
      <c r="AK76" s="18"/>
      <c r="AL76" s="18"/>
      <c r="AM76" s="18"/>
      <c r="AN76" s="18">
        <v>1</v>
      </c>
      <c r="AO76" s="18"/>
      <c r="AP76" s="18"/>
      <c r="AQ76" s="18"/>
      <c r="AR76" s="18"/>
      <c r="AS76" s="18"/>
      <c r="AT76" s="18"/>
      <c r="AU76" s="18"/>
      <c r="AV76" s="18"/>
      <c r="AW76" s="18"/>
      <c r="AX76" s="18"/>
      <c r="AY76" s="18"/>
      <c r="AZ76" s="43"/>
    </row>
    <row r="77" spans="1:52">
      <c r="A77" s="43" t="s">
        <v>26</v>
      </c>
      <c r="B77" s="29" t="s">
        <v>223</v>
      </c>
      <c r="C77" s="29" t="s">
        <v>115</v>
      </c>
      <c r="D77" s="29"/>
      <c r="E77" s="29" t="s">
        <v>102</v>
      </c>
      <c r="F77" s="43" t="s">
        <v>141</v>
      </c>
      <c r="G77" s="43"/>
      <c r="H77" s="43">
        <v>1</v>
      </c>
      <c r="I77" s="43" t="s">
        <v>30</v>
      </c>
      <c r="J77" s="43">
        <v>19.62962962962963</v>
      </c>
      <c r="K77" s="43"/>
      <c r="L77" s="43">
        <v>343</v>
      </c>
      <c r="M77" s="43">
        <v>287</v>
      </c>
      <c r="N77" s="43"/>
      <c r="O77" s="43"/>
      <c r="P77" s="43">
        <v>5</v>
      </c>
      <c r="Q77" s="173" t="s">
        <v>1103</v>
      </c>
      <c r="R77" s="43"/>
      <c r="S77" s="43"/>
      <c r="T77" s="43"/>
      <c r="U77" s="43"/>
      <c r="V77" s="43"/>
      <c r="W77" s="43"/>
      <c r="X77" s="43"/>
      <c r="Y77" s="43"/>
      <c r="Z77" s="43"/>
      <c r="AA77" s="43"/>
      <c r="AB77" s="43"/>
      <c r="AC77" s="18"/>
      <c r="AD77" s="18"/>
      <c r="AE77" s="18"/>
      <c r="AF77" s="18"/>
      <c r="AG77" s="18"/>
      <c r="AH77" s="18"/>
      <c r="AI77" s="18"/>
      <c r="AJ77" s="18"/>
      <c r="AK77" s="18"/>
      <c r="AL77" s="18"/>
      <c r="AM77" s="18"/>
      <c r="AN77" s="18">
        <v>1</v>
      </c>
      <c r="AO77" s="18"/>
      <c r="AP77" s="18"/>
      <c r="AQ77" s="18"/>
      <c r="AR77" s="18"/>
      <c r="AS77" s="18"/>
      <c r="AT77" s="18"/>
      <c r="AU77" s="18"/>
      <c r="AV77" s="18"/>
      <c r="AW77" s="18"/>
      <c r="AX77" s="18"/>
      <c r="AY77" s="18"/>
      <c r="AZ77" s="43"/>
    </row>
    <row r="78" spans="1:52">
      <c r="A78" s="43" t="s">
        <v>26</v>
      </c>
      <c r="B78" s="29" t="s">
        <v>224</v>
      </c>
      <c r="C78" s="29" t="s">
        <v>116</v>
      </c>
      <c r="D78" s="29"/>
      <c r="E78" s="29" t="s">
        <v>102</v>
      </c>
      <c r="F78" s="43" t="s">
        <v>141</v>
      </c>
      <c r="G78" s="43"/>
      <c r="H78" s="43">
        <v>1</v>
      </c>
      <c r="I78" s="43" t="s">
        <v>30</v>
      </c>
      <c r="J78" s="43">
        <v>18.928571428571427</v>
      </c>
      <c r="K78" s="43"/>
      <c r="L78" s="43">
        <v>371</v>
      </c>
      <c r="M78" s="43">
        <v>302</v>
      </c>
      <c r="N78" s="43"/>
      <c r="O78" s="43"/>
      <c r="P78" s="43">
        <v>5</v>
      </c>
      <c r="Q78" s="173" t="s">
        <v>1103</v>
      </c>
      <c r="R78" s="43"/>
      <c r="S78" s="43"/>
      <c r="T78" s="43"/>
      <c r="U78" s="43"/>
      <c r="V78" s="43"/>
      <c r="W78" s="43"/>
      <c r="X78" s="43"/>
      <c r="Y78" s="43"/>
      <c r="Z78" s="43"/>
      <c r="AA78" s="43"/>
      <c r="AB78" s="43"/>
      <c r="AC78" s="18"/>
      <c r="AD78" s="18"/>
      <c r="AE78" s="18"/>
      <c r="AF78" s="18"/>
      <c r="AG78" s="18"/>
      <c r="AH78" s="18"/>
      <c r="AI78" s="18"/>
      <c r="AJ78" s="18"/>
      <c r="AK78" s="18"/>
      <c r="AL78" s="18"/>
      <c r="AM78" s="18"/>
      <c r="AN78" s="18">
        <v>1</v>
      </c>
      <c r="AO78" s="18"/>
      <c r="AP78" s="18"/>
      <c r="AQ78" s="18"/>
      <c r="AR78" s="18"/>
      <c r="AS78" s="18"/>
      <c r="AT78" s="18"/>
      <c r="AU78" s="18"/>
      <c r="AV78" s="18"/>
      <c r="AW78" s="18"/>
      <c r="AX78" s="18"/>
      <c r="AY78" s="18"/>
      <c r="AZ78" s="43"/>
    </row>
    <row r="79" spans="1:52">
      <c r="A79" s="43" t="s">
        <v>26</v>
      </c>
      <c r="B79" s="29" t="s">
        <v>225</v>
      </c>
      <c r="C79" s="29" t="s">
        <v>117</v>
      </c>
      <c r="D79" s="29"/>
      <c r="E79" s="29" t="s">
        <v>102</v>
      </c>
      <c r="F79" s="43" t="s">
        <v>141</v>
      </c>
      <c r="G79" s="43"/>
      <c r="H79" s="43">
        <v>1</v>
      </c>
      <c r="I79" s="43" t="s">
        <v>30</v>
      </c>
      <c r="J79" s="43">
        <v>19.62962962962963</v>
      </c>
      <c r="K79" s="43"/>
      <c r="L79" s="43">
        <v>384</v>
      </c>
      <c r="M79" s="43">
        <v>277</v>
      </c>
      <c r="N79" s="43"/>
      <c r="O79" s="43"/>
      <c r="P79" s="43">
        <v>5</v>
      </c>
      <c r="Q79" s="173" t="s">
        <v>1103</v>
      </c>
      <c r="R79" s="43"/>
      <c r="S79" s="43"/>
      <c r="T79" s="43"/>
      <c r="U79" s="43"/>
      <c r="V79" s="43"/>
      <c r="W79" s="43"/>
      <c r="X79" s="43"/>
      <c r="Y79" s="43"/>
      <c r="Z79" s="43"/>
      <c r="AA79" s="43"/>
      <c r="AB79" s="43"/>
      <c r="AC79" s="18"/>
      <c r="AD79" s="18"/>
      <c r="AE79" s="18"/>
      <c r="AF79" s="18"/>
      <c r="AG79" s="18"/>
      <c r="AH79" s="18"/>
      <c r="AI79" s="18"/>
      <c r="AJ79" s="18"/>
      <c r="AK79" s="18"/>
      <c r="AL79" s="18"/>
      <c r="AM79" s="18"/>
      <c r="AN79" s="18">
        <v>1</v>
      </c>
      <c r="AO79" s="18"/>
      <c r="AP79" s="18"/>
      <c r="AQ79" s="18"/>
      <c r="AR79" s="18"/>
      <c r="AS79" s="18"/>
      <c r="AT79" s="18"/>
      <c r="AU79" s="18"/>
      <c r="AV79" s="18"/>
      <c r="AW79" s="18"/>
      <c r="AX79" s="18"/>
      <c r="AY79" s="18"/>
      <c r="AZ79" s="43"/>
    </row>
    <row r="80" spans="1:52">
      <c r="A80" s="43" t="s">
        <v>26</v>
      </c>
      <c r="B80" s="29" t="s">
        <v>226</v>
      </c>
      <c r="C80" s="29" t="s">
        <v>118</v>
      </c>
      <c r="D80" s="29"/>
      <c r="E80" s="29" t="s">
        <v>102</v>
      </c>
      <c r="F80" s="43" t="s">
        <v>141</v>
      </c>
      <c r="G80" s="43"/>
      <c r="H80" s="43">
        <v>1</v>
      </c>
      <c r="I80" s="43" t="s">
        <v>30</v>
      </c>
      <c r="J80" s="43">
        <v>19.62962962962963</v>
      </c>
      <c r="K80" s="43"/>
      <c r="L80" s="43">
        <v>389</v>
      </c>
      <c r="M80" s="43">
        <v>269</v>
      </c>
      <c r="N80" s="43"/>
      <c r="O80" s="43"/>
      <c r="P80" s="43">
        <v>5</v>
      </c>
      <c r="Q80" s="173" t="s">
        <v>1103</v>
      </c>
      <c r="R80" s="43"/>
      <c r="S80" s="43"/>
      <c r="T80" s="43"/>
      <c r="U80" s="43"/>
      <c r="V80" s="43"/>
      <c r="W80" s="43"/>
      <c r="X80" s="43"/>
      <c r="Y80" s="43"/>
      <c r="Z80" s="43"/>
      <c r="AA80" s="43"/>
      <c r="AB80" s="43"/>
      <c r="AC80" s="18"/>
      <c r="AD80" s="18"/>
      <c r="AE80" s="18"/>
      <c r="AF80" s="18"/>
      <c r="AG80" s="18"/>
      <c r="AH80" s="18"/>
      <c r="AI80" s="18"/>
      <c r="AJ80" s="18"/>
      <c r="AK80" s="18"/>
      <c r="AL80" s="18"/>
      <c r="AM80" s="18"/>
      <c r="AN80" s="18">
        <v>1</v>
      </c>
      <c r="AO80" s="18"/>
      <c r="AP80" s="18"/>
      <c r="AQ80" s="18"/>
      <c r="AR80" s="18"/>
      <c r="AS80" s="18"/>
      <c r="AT80" s="18"/>
      <c r="AU80" s="18"/>
      <c r="AV80" s="18"/>
      <c r="AW80" s="18"/>
      <c r="AX80" s="18"/>
      <c r="AY80" s="18"/>
      <c r="AZ80" s="43"/>
    </row>
    <row r="81" spans="1:52">
      <c r="A81" s="43" t="s">
        <v>26</v>
      </c>
      <c r="B81" s="29" t="s">
        <v>227</v>
      </c>
      <c r="C81" s="29" t="s">
        <v>119</v>
      </c>
      <c r="D81" s="29"/>
      <c r="E81" s="29" t="s">
        <v>102</v>
      </c>
      <c r="F81" s="43" t="s">
        <v>141</v>
      </c>
      <c r="G81" s="43"/>
      <c r="H81" s="43">
        <v>1</v>
      </c>
      <c r="I81" s="43" t="s">
        <v>30</v>
      </c>
      <c r="J81" s="43">
        <v>19.62962962962963</v>
      </c>
      <c r="K81" s="43"/>
      <c r="L81" s="43">
        <v>416</v>
      </c>
      <c r="M81" s="43">
        <v>294</v>
      </c>
      <c r="N81" s="43"/>
      <c r="O81" s="43"/>
      <c r="P81" s="43">
        <v>5</v>
      </c>
      <c r="Q81" s="173" t="s">
        <v>1103</v>
      </c>
      <c r="R81" s="43"/>
      <c r="S81" s="43"/>
      <c r="T81" s="43"/>
      <c r="U81" s="43"/>
      <c r="V81" s="43"/>
      <c r="W81" s="43"/>
      <c r="X81" s="43"/>
      <c r="Y81" s="43"/>
      <c r="Z81" s="43"/>
      <c r="AA81" s="43"/>
      <c r="AB81" s="43"/>
      <c r="AC81" s="18"/>
      <c r="AD81" s="18"/>
      <c r="AE81" s="18"/>
      <c r="AF81" s="18"/>
      <c r="AG81" s="18"/>
      <c r="AH81" s="18"/>
      <c r="AI81" s="18"/>
      <c r="AJ81" s="18"/>
      <c r="AK81" s="18"/>
      <c r="AL81" s="18"/>
      <c r="AM81" s="18"/>
      <c r="AN81" s="18">
        <v>1</v>
      </c>
      <c r="AO81" s="18"/>
      <c r="AP81" s="18"/>
      <c r="AQ81" s="18"/>
      <c r="AR81" s="18"/>
      <c r="AS81" s="18"/>
      <c r="AT81" s="18"/>
      <c r="AU81" s="18"/>
      <c r="AV81" s="18"/>
      <c r="AW81" s="18"/>
      <c r="AX81" s="18"/>
      <c r="AY81" s="18"/>
      <c r="AZ81" s="43"/>
    </row>
    <row r="82" spans="1:52">
      <c r="A82" s="43" t="s">
        <v>26</v>
      </c>
      <c r="B82" s="29" t="s">
        <v>228</v>
      </c>
      <c r="C82" s="29" t="s">
        <v>120</v>
      </c>
      <c r="D82" s="29"/>
      <c r="E82" s="29" t="s">
        <v>102</v>
      </c>
      <c r="F82" s="43" t="s">
        <v>141</v>
      </c>
      <c r="G82" s="43"/>
      <c r="H82" s="43">
        <v>1</v>
      </c>
      <c r="I82" s="43" t="s">
        <v>30</v>
      </c>
      <c r="J82" s="43">
        <v>20</v>
      </c>
      <c r="K82" s="43"/>
      <c r="L82" s="43">
        <v>439</v>
      </c>
      <c r="M82" s="43">
        <v>306</v>
      </c>
      <c r="N82" s="43"/>
      <c r="O82" s="43"/>
      <c r="P82" s="43">
        <v>5</v>
      </c>
      <c r="Q82" s="173" t="s">
        <v>1103</v>
      </c>
      <c r="R82" s="43"/>
      <c r="S82" s="43"/>
      <c r="T82" s="43"/>
      <c r="U82" s="43"/>
      <c r="V82" s="43"/>
      <c r="W82" s="43"/>
      <c r="X82" s="43"/>
      <c r="Y82" s="43"/>
      <c r="Z82" s="43"/>
      <c r="AA82" s="43"/>
      <c r="AB82" s="43"/>
      <c r="AC82" s="18"/>
      <c r="AD82" s="18"/>
      <c r="AE82" s="18"/>
      <c r="AF82" s="18"/>
      <c r="AG82" s="18"/>
      <c r="AH82" s="18"/>
      <c r="AI82" s="18"/>
      <c r="AJ82" s="18"/>
      <c r="AK82" s="18"/>
      <c r="AL82" s="18"/>
      <c r="AM82" s="18"/>
      <c r="AN82" s="18">
        <v>1</v>
      </c>
      <c r="AO82" s="18"/>
      <c r="AP82" s="18"/>
      <c r="AQ82" s="18"/>
      <c r="AR82" s="18"/>
      <c r="AS82" s="18"/>
      <c r="AT82" s="18"/>
      <c r="AU82" s="18"/>
      <c r="AV82" s="18"/>
      <c r="AW82" s="18"/>
      <c r="AX82" s="18"/>
      <c r="AY82" s="18"/>
      <c r="AZ82" s="43"/>
    </row>
    <row r="83" spans="1:52">
      <c r="A83" s="43" t="s">
        <v>26</v>
      </c>
      <c r="B83" s="29" t="s">
        <v>229</v>
      </c>
      <c r="C83" s="29" t="s">
        <v>121</v>
      </c>
      <c r="D83" s="29"/>
      <c r="E83" s="29" t="s">
        <v>102</v>
      </c>
      <c r="F83" s="43" t="s">
        <v>141</v>
      </c>
      <c r="G83" s="43"/>
      <c r="H83" s="43">
        <v>1</v>
      </c>
      <c r="I83" s="43" t="s">
        <v>30</v>
      </c>
      <c r="J83" s="43">
        <v>20.384615384615383</v>
      </c>
      <c r="K83" s="43"/>
      <c r="L83" s="43">
        <v>423</v>
      </c>
      <c r="M83" s="43">
        <v>297</v>
      </c>
      <c r="N83" s="43"/>
      <c r="O83" s="43"/>
      <c r="P83" s="43">
        <v>5</v>
      </c>
      <c r="Q83" s="173" t="s">
        <v>1103</v>
      </c>
      <c r="R83" s="43"/>
      <c r="S83" s="43"/>
      <c r="T83" s="43"/>
      <c r="U83" s="43"/>
      <c r="V83" s="43"/>
      <c r="W83" s="43"/>
      <c r="X83" s="43"/>
      <c r="Y83" s="43"/>
      <c r="Z83" s="43"/>
      <c r="AA83" s="43"/>
      <c r="AB83" s="43"/>
      <c r="AC83" s="18"/>
      <c r="AD83" s="18"/>
      <c r="AE83" s="18"/>
      <c r="AF83" s="18"/>
      <c r="AG83" s="18"/>
      <c r="AH83" s="18"/>
      <c r="AI83" s="18"/>
      <c r="AJ83" s="18"/>
      <c r="AK83" s="18"/>
      <c r="AL83" s="18"/>
      <c r="AM83" s="18"/>
      <c r="AN83" s="18">
        <v>1</v>
      </c>
      <c r="AO83" s="18"/>
      <c r="AP83" s="18"/>
      <c r="AQ83" s="18"/>
      <c r="AR83" s="18"/>
      <c r="AS83" s="18"/>
      <c r="AT83" s="18"/>
      <c r="AU83" s="18"/>
      <c r="AV83" s="18"/>
      <c r="AW83" s="18"/>
      <c r="AX83" s="18"/>
      <c r="AY83" s="18"/>
      <c r="AZ83" s="43"/>
    </row>
    <row r="84" spans="1:52">
      <c r="A84" s="39" t="s">
        <v>26</v>
      </c>
      <c r="B84" s="27" t="s">
        <v>230</v>
      </c>
      <c r="C84" s="27" t="s">
        <v>122</v>
      </c>
      <c r="D84" s="27"/>
      <c r="E84" s="27" t="s">
        <v>285</v>
      </c>
      <c r="F84" s="39" t="s">
        <v>167</v>
      </c>
      <c r="G84" s="39" t="s">
        <v>168</v>
      </c>
      <c r="H84" s="39">
        <v>2</v>
      </c>
      <c r="I84" s="39" t="s">
        <v>38</v>
      </c>
      <c r="J84" s="39">
        <v>4.16</v>
      </c>
      <c r="K84" s="39"/>
      <c r="L84" s="39">
        <v>698</v>
      </c>
      <c r="M84" s="39">
        <v>548</v>
      </c>
      <c r="N84" s="39"/>
      <c r="O84" s="39"/>
      <c r="P84" s="39">
        <v>1</v>
      </c>
      <c r="Q84" s="173" t="s">
        <v>1103</v>
      </c>
      <c r="R84" s="39"/>
      <c r="S84" s="39"/>
      <c r="T84" s="39"/>
      <c r="U84" s="39"/>
      <c r="V84" s="39"/>
      <c r="W84" s="39"/>
      <c r="X84" s="39"/>
      <c r="Y84" s="39"/>
      <c r="Z84" s="39"/>
      <c r="AA84" s="39"/>
      <c r="AB84" s="39"/>
      <c r="AC84" s="39"/>
      <c r="AD84" s="39">
        <v>1</v>
      </c>
      <c r="AE84" s="39">
        <v>1</v>
      </c>
      <c r="AF84" s="39">
        <v>0</v>
      </c>
      <c r="AG84" s="39">
        <v>43</v>
      </c>
      <c r="AH84" s="10"/>
      <c r="AI84" s="10"/>
      <c r="AJ84" s="10"/>
      <c r="AK84" s="10"/>
      <c r="AL84" s="10"/>
      <c r="AM84" s="10"/>
      <c r="AN84" s="10">
        <v>1</v>
      </c>
      <c r="AO84" s="10">
        <v>1</v>
      </c>
      <c r="AP84" s="10"/>
      <c r="AQ84" s="10"/>
      <c r="AR84" s="10"/>
      <c r="AS84" s="10"/>
      <c r="AT84" s="10"/>
      <c r="AU84" s="10"/>
      <c r="AV84" s="10"/>
      <c r="AW84" s="10"/>
      <c r="AX84" s="10"/>
      <c r="AY84" s="10"/>
      <c r="AZ84" s="39"/>
    </row>
    <row r="85" spans="1:52">
      <c r="A85" s="43" t="s">
        <v>26</v>
      </c>
      <c r="B85" s="29" t="s">
        <v>103</v>
      </c>
      <c r="C85" s="29" t="s">
        <v>171</v>
      </c>
      <c r="D85" s="29"/>
      <c r="E85" s="29"/>
      <c r="F85" s="18"/>
      <c r="G85" s="18"/>
      <c r="H85" s="18"/>
      <c r="I85" s="43" t="s">
        <v>30</v>
      </c>
      <c r="J85" s="43">
        <v>17.86</v>
      </c>
      <c r="K85" s="43"/>
      <c r="L85" s="43">
        <v>360</v>
      </c>
      <c r="M85" s="43">
        <v>292</v>
      </c>
      <c r="N85" s="43"/>
      <c r="O85" s="43"/>
      <c r="P85" s="43">
        <v>5</v>
      </c>
      <c r="Q85" s="173" t="s">
        <v>1103</v>
      </c>
      <c r="R85" s="18"/>
      <c r="S85" s="18"/>
      <c r="T85" s="18"/>
      <c r="U85" s="18"/>
      <c r="V85" s="18"/>
      <c r="W85" s="18"/>
      <c r="X85" s="43"/>
      <c r="Y85" s="43"/>
      <c r="Z85" s="43"/>
      <c r="AA85" s="43"/>
      <c r="AB85" s="43"/>
      <c r="AC85" s="18"/>
      <c r="AD85" s="18"/>
      <c r="AE85" s="18"/>
      <c r="AF85" s="18"/>
      <c r="AG85" s="18"/>
      <c r="AH85" s="18"/>
      <c r="AI85" s="18"/>
      <c r="AJ85" s="18"/>
      <c r="AK85" s="18"/>
      <c r="AL85" s="18"/>
      <c r="AM85" s="18"/>
      <c r="AN85" s="18"/>
      <c r="AO85" s="18"/>
      <c r="AP85" s="18"/>
      <c r="AQ85" s="18"/>
      <c r="AR85" s="18"/>
      <c r="AS85" s="18"/>
      <c r="AT85" s="18"/>
      <c r="AU85" s="18"/>
      <c r="AV85" s="18"/>
      <c r="AW85" s="18"/>
      <c r="AX85" s="18"/>
      <c r="AY85" s="18"/>
      <c r="AZ85" s="18"/>
    </row>
    <row r="86" spans="1:52">
      <c r="A86" s="39" t="s">
        <v>26</v>
      </c>
      <c r="B86" s="27" t="s">
        <v>104</v>
      </c>
      <c r="C86" s="27" t="s">
        <v>172</v>
      </c>
      <c r="D86" s="27"/>
      <c r="E86" s="27"/>
      <c r="F86" s="10"/>
      <c r="G86" s="10"/>
      <c r="H86" s="10"/>
      <c r="I86" s="39" t="s">
        <v>38</v>
      </c>
      <c r="J86" s="39">
        <v>17.86</v>
      </c>
      <c r="K86" s="39"/>
      <c r="L86" s="39">
        <v>360</v>
      </c>
      <c r="M86" s="39">
        <v>292</v>
      </c>
      <c r="N86" s="39"/>
      <c r="O86" s="39"/>
      <c r="P86" s="39">
        <v>5</v>
      </c>
      <c r="Q86" s="173" t="s">
        <v>1103</v>
      </c>
      <c r="R86" s="10"/>
      <c r="S86" s="10"/>
      <c r="T86" s="10"/>
      <c r="U86" s="10"/>
      <c r="V86" s="10"/>
      <c r="W86" s="10"/>
      <c r="X86" s="39"/>
      <c r="Y86" s="39"/>
      <c r="Z86" s="39"/>
      <c r="AA86" s="39"/>
      <c r="AB86" s="39"/>
      <c r="AC86" s="10"/>
      <c r="AD86" s="10"/>
      <c r="AE86" s="10"/>
      <c r="AF86" s="10"/>
      <c r="AG86" s="10"/>
      <c r="AH86" s="10"/>
      <c r="AI86" s="10"/>
      <c r="AJ86" s="10"/>
      <c r="AK86" s="10"/>
      <c r="AL86" s="10"/>
      <c r="AM86" s="10"/>
      <c r="AN86" s="10"/>
      <c r="AO86" s="10"/>
      <c r="AP86" s="10"/>
      <c r="AQ86" s="10"/>
      <c r="AR86" s="10"/>
      <c r="AS86" s="10"/>
      <c r="AT86" s="10"/>
      <c r="AU86" s="10"/>
      <c r="AV86" s="10"/>
      <c r="AW86" s="10"/>
      <c r="AX86" s="10"/>
      <c r="AY86" s="10"/>
      <c r="AZ86" s="10"/>
    </row>
    <row r="87" spans="1:52">
      <c r="A87" s="39" t="s">
        <v>26</v>
      </c>
      <c r="B87" s="27" t="s">
        <v>811</v>
      </c>
      <c r="C87" s="27" t="s">
        <v>811</v>
      </c>
      <c r="I87" s="8" t="s">
        <v>810</v>
      </c>
      <c r="J87" s="39">
        <v>17.86</v>
      </c>
      <c r="K87" s="39"/>
      <c r="L87" s="39">
        <v>360</v>
      </c>
      <c r="M87" s="39">
        <v>292</v>
      </c>
      <c r="P87" s="43">
        <v>5</v>
      </c>
      <c r="Q87" s="173" t="s">
        <v>1103</v>
      </c>
    </row>
    <row r="92" spans="1:52">
      <c r="C92" s="34"/>
    </row>
    <row r="93" spans="1:52">
      <c r="C93" s="141"/>
    </row>
    <row r="94" spans="1:52">
      <c r="C94" s="141"/>
    </row>
    <row r="95" spans="1:52">
      <c r="C95" s="141"/>
    </row>
    <row r="96" spans="1:52">
      <c r="C96" s="141"/>
    </row>
    <row r="97" spans="3:3">
      <c r="C97" s="34"/>
    </row>
    <row r="98" spans="3:3">
      <c r="C98" s="27"/>
    </row>
    <row r="99" spans="3:3">
      <c r="C99" s="141"/>
    </row>
    <row r="100" spans="3:3">
      <c r="C100" s="141"/>
    </row>
    <row r="101" spans="3:3">
      <c r="C101" s="27"/>
    </row>
  </sheetData>
  <autoFilter ref="A1:CB87" xr:uid="{00000000-0009-0000-0000-000000000000}"/>
  <phoneticPr fontId="4"/>
  <conditionalFormatting sqref="B46 D46:E46 A110:J65578 H46:J46 D53:H53 AJ16:AM16 AF16:AH16 AJ19:AM27 AF19:AH27 AF64:AH65 AF2:AH12 AJ4:AM12 AJ86:AQ86 X66:AH86 AJ64:AM85 AN66:AP85 AN2:AR35 AT2:AY35 BA2:IU35 L110:XFD65578 AZ34:AZ35 AZ2:AZ31 L2:Q2 AT46:IU46 AJ46:AR46 L46:P46 D54:I54 X48:AE65 AN48:AR65 AT48:AY65 BA48:IU65 AZ48:AZ86 AF48:AH57 AJ48:AM57 H48:J51 D48:E52 A48:B54 L48:P86 J35 A2:J29 A35:E35 A55:J55 G35:H35 A32:J34 A69:J86 J56 J30:J31 H52 J52:J53 A57:J65 J66:J68 A66:H68 A30:H31 A56:H56 R48:W86 R46:AH46 L3:P35 R4:AE35 Q3:Q87 S3:T3 S2 W2:AE3">
    <cfRule type="expression" dxfId="758" priority="85" stopIfTrue="1">
      <formula>MOD(ROW(),2) = 1</formula>
    </cfRule>
  </conditionalFormatting>
  <conditionalFormatting sqref="C97:C101">
    <cfRule type="expression" dxfId="757" priority="75" stopIfTrue="1">
      <formula>MOD(ROW(),2) = 1</formula>
    </cfRule>
  </conditionalFormatting>
  <conditionalFormatting sqref="C52:C54">
    <cfRule type="expression" dxfId="756" priority="74" stopIfTrue="1">
      <formula>MOD(ROW(),2) = 1</formula>
    </cfRule>
  </conditionalFormatting>
  <conditionalFormatting sqref="C92:C96">
    <cfRule type="expression" dxfId="755" priority="73" stopIfTrue="1">
      <formula>MOD(ROW(),2) = 1</formula>
    </cfRule>
  </conditionalFormatting>
  <conditionalFormatting sqref="C46 C48:C50">
    <cfRule type="expression" dxfId="754" priority="72" stopIfTrue="1">
      <formula>MOD(ROW(),2) = 1</formula>
    </cfRule>
  </conditionalFormatting>
  <conditionalFormatting sqref="C51">
    <cfRule type="expression" dxfId="753" priority="71" stopIfTrue="1">
      <formula>MOD(ROW(),2) = 1</formula>
    </cfRule>
  </conditionalFormatting>
  <conditionalFormatting sqref="AZ32">
    <cfRule type="expression" dxfId="752" priority="69" stopIfTrue="1">
      <formula>MOD(ROW(),2) = 1</formula>
    </cfRule>
  </conditionalFormatting>
  <conditionalFormatting sqref="AZ33">
    <cfRule type="expression" dxfId="751" priority="68" stopIfTrue="1">
      <formula>MOD(ROW(),2) = 1</formula>
    </cfRule>
  </conditionalFormatting>
  <conditionalFormatting sqref="F46:G46 F48:G52">
    <cfRule type="expression" dxfId="750" priority="67" stopIfTrue="1">
      <formula>MOD(ROW(),2) = 1</formula>
    </cfRule>
  </conditionalFormatting>
  <conditionalFormatting sqref="F42 G38 F40:G41 F44:F45">
    <cfRule type="expression" dxfId="749" priority="55" stopIfTrue="1">
      <formula>MOD(ROW(),2) = 1</formula>
    </cfRule>
  </conditionalFormatting>
  <conditionalFormatting sqref="B37:B38">
    <cfRule type="expression" dxfId="748" priority="54" stopIfTrue="1">
      <formula>MOD(ROW(),2) = 1</formula>
    </cfRule>
  </conditionalFormatting>
  <conditionalFormatting sqref="D36">
    <cfRule type="expression" dxfId="747" priority="53" stopIfTrue="1">
      <formula>MOD(ROW(),2) = 1</formula>
    </cfRule>
  </conditionalFormatting>
  <conditionalFormatting sqref="G39">
    <cfRule type="expression" dxfId="746" priority="52" stopIfTrue="1">
      <formula>MOD(ROW(),2) = 1</formula>
    </cfRule>
  </conditionalFormatting>
  <conditionalFormatting sqref="F39">
    <cfRule type="expression" dxfId="745" priority="51" stopIfTrue="1">
      <formula>MOD(ROW(),2) = 1</formula>
    </cfRule>
  </conditionalFormatting>
  <conditionalFormatting sqref="F43">
    <cfRule type="expression" dxfId="744" priority="50" stopIfTrue="1">
      <formula>MOD(ROW(),2) = 1</formula>
    </cfRule>
  </conditionalFormatting>
  <conditionalFormatting sqref="K110:K764">
    <cfRule type="expression" dxfId="743" priority="60" stopIfTrue="1">
      <formula>MOD(ROW(),2) = 1</formula>
    </cfRule>
  </conditionalFormatting>
  <conditionalFormatting sqref="BA1:IU1">
    <cfRule type="expression" dxfId="742" priority="58" stopIfTrue="1">
      <formula>MOD(ROW(),2) = 1</formula>
    </cfRule>
  </conditionalFormatting>
  <conditionalFormatting sqref="L36:P45 AZ36:AZ45 R36:AE45">
    <cfRule type="expression" dxfId="741" priority="57" stopIfTrue="1">
      <formula>MOD(ROW(),2) = 1</formula>
    </cfRule>
  </conditionalFormatting>
  <conditionalFormatting sqref="B36:C36 A42:E42 E36:J36 C37:J37 H38:J45 AJ37:AM45 AF37:AH45 AN36:AR45 AT36:AY45 BA36:IU45 C38:E41 B43:E45">
    <cfRule type="expression" dxfId="740" priority="56" stopIfTrue="1">
      <formula>MOD(ROW(),2) = 1</formula>
    </cfRule>
  </conditionalFormatting>
  <conditionalFormatting sqref="F38">
    <cfRule type="expression" dxfId="739" priority="49" stopIfTrue="1">
      <formula>MOD(ROW(),2) = 1</formula>
    </cfRule>
  </conditionalFormatting>
  <conditionalFormatting sqref="B39:B41">
    <cfRule type="expression" dxfId="738" priority="47" stopIfTrue="1">
      <formula>MOD(ROW(),2) = 1</formula>
    </cfRule>
  </conditionalFormatting>
  <conditionalFormatting sqref="A36">
    <cfRule type="expression" dxfId="737" priority="46" stopIfTrue="1">
      <formula>MOD(ROW(),2) = 1</formula>
    </cfRule>
  </conditionalFormatting>
  <conditionalFormatting sqref="A37">
    <cfRule type="expression" dxfId="736" priority="45" stopIfTrue="1">
      <formula>MOD(ROW(),2) = 1</formula>
    </cfRule>
  </conditionalFormatting>
  <conditionalFormatting sqref="A43">
    <cfRule type="expression" dxfId="735" priority="44" stopIfTrue="1">
      <formula>MOD(ROW(),2) = 1</formula>
    </cfRule>
  </conditionalFormatting>
  <conditionalFormatting sqref="A44">
    <cfRule type="expression" dxfId="734" priority="43" stopIfTrue="1">
      <formula>MOD(ROW(),2) = 1</formula>
    </cfRule>
  </conditionalFormatting>
  <conditionalFormatting sqref="A45">
    <cfRule type="expression" dxfId="733" priority="42" stopIfTrue="1">
      <formula>MOD(ROW(),2) = 1</formula>
    </cfRule>
  </conditionalFormatting>
  <conditionalFormatting sqref="A38">
    <cfRule type="expression" dxfId="732" priority="41" stopIfTrue="1">
      <formula>MOD(ROW(),2) = 1</formula>
    </cfRule>
  </conditionalFormatting>
  <conditionalFormatting sqref="A39">
    <cfRule type="expression" dxfId="731" priority="40" stopIfTrue="1">
      <formula>MOD(ROW(),2) = 1</formula>
    </cfRule>
  </conditionalFormatting>
  <conditionalFormatting sqref="A40">
    <cfRule type="expression" dxfId="730" priority="39" stopIfTrue="1">
      <formula>MOD(ROW(),2) = 1</formula>
    </cfRule>
  </conditionalFormatting>
  <conditionalFormatting sqref="A41">
    <cfRule type="expression" dxfId="729" priority="38" stopIfTrue="1">
      <formula>MOD(ROW(),2) = 1</formula>
    </cfRule>
  </conditionalFormatting>
  <conditionalFormatting sqref="A47:B47 D47:E47 H47:J47 AT47:IU47 AJ47:AR47 L47:P47 R47:AH47">
    <cfRule type="expression" dxfId="728" priority="37" stopIfTrue="1">
      <formula>MOD(ROW(),2) = 1</formula>
    </cfRule>
  </conditionalFormatting>
  <conditionalFormatting sqref="C47">
    <cfRule type="expression" dxfId="727" priority="36" stopIfTrue="1">
      <formula>MOD(ROW(),2) = 1</formula>
    </cfRule>
  </conditionalFormatting>
  <conditionalFormatting sqref="F47:G47">
    <cfRule type="expression" dxfId="726" priority="35" stopIfTrue="1">
      <formula>MOD(ROW(),2) = 1</formula>
    </cfRule>
  </conditionalFormatting>
  <conditionalFormatting sqref="A46">
    <cfRule type="expression" dxfId="725" priority="33" stopIfTrue="1">
      <formula>MOD(ROW(),2) = 1</formula>
    </cfRule>
  </conditionalFormatting>
  <conditionalFormatting sqref="A87:B87">
    <cfRule type="expression" dxfId="724" priority="32" stopIfTrue="1">
      <formula>MOD(ROW(),2) = 1</formula>
    </cfRule>
  </conditionalFormatting>
  <conditionalFormatting sqref="J87 L87:M87">
    <cfRule type="expression" dxfId="723" priority="30" stopIfTrue="1">
      <formula>MOD(ROW(),2) = 1</formula>
    </cfRule>
  </conditionalFormatting>
  <conditionalFormatting sqref="P87">
    <cfRule type="expression" dxfId="722" priority="28" stopIfTrue="1">
      <formula>MOD(ROW(),2) = 1</formula>
    </cfRule>
  </conditionalFormatting>
  <conditionalFormatting sqref="C87">
    <cfRule type="expression" dxfId="721" priority="27" stopIfTrue="1">
      <formula>MOD(ROW(),2) = 1</formula>
    </cfRule>
  </conditionalFormatting>
  <conditionalFormatting sqref="I35">
    <cfRule type="expression" dxfId="720" priority="26" stopIfTrue="1">
      <formula>MOD(ROW(),2) = 1</formula>
    </cfRule>
  </conditionalFormatting>
  <conditionalFormatting sqref="F35">
    <cfRule type="expression" dxfId="719" priority="25" stopIfTrue="1">
      <formula>MOD(ROW(),2) = 1</formula>
    </cfRule>
  </conditionalFormatting>
  <conditionalFormatting sqref="K46 K48:K53 K2:K35 K55:K86">
    <cfRule type="expression" dxfId="718" priority="24" stopIfTrue="1">
      <formula>MOD(ROW(),2) = 1</formula>
    </cfRule>
  </conditionalFormatting>
  <conditionalFormatting sqref="K36:K45">
    <cfRule type="expression" dxfId="717" priority="23" stopIfTrue="1">
      <formula>MOD(ROW(),2) = 1</formula>
    </cfRule>
  </conditionalFormatting>
  <conditionalFormatting sqref="K47">
    <cfRule type="expression" dxfId="716" priority="22" stopIfTrue="1">
      <formula>MOD(ROW(),2) = 1</formula>
    </cfRule>
  </conditionalFormatting>
  <conditionalFormatting sqref="K87">
    <cfRule type="expression" dxfId="715" priority="21" stopIfTrue="1">
      <formula>MOD(ROW(),2) = 1</formula>
    </cfRule>
  </conditionalFormatting>
  <conditionalFormatting sqref="I31">
    <cfRule type="expression" dxfId="714" priority="20" stopIfTrue="1">
      <formula>MOD(ROW(),2) = 1</formula>
    </cfRule>
  </conditionalFormatting>
  <conditionalFormatting sqref="I67">
    <cfRule type="expression" dxfId="713" priority="19" stopIfTrue="1">
      <formula>MOD(ROW(),2) = 1</formula>
    </cfRule>
  </conditionalFormatting>
  <conditionalFormatting sqref="I56">
    <cfRule type="expression" dxfId="712" priority="18" stopIfTrue="1">
      <formula>MOD(ROW(),2) = 1</formula>
    </cfRule>
  </conditionalFormatting>
  <conditionalFormatting sqref="I30">
    <cfRule type="expression" dxfId="711" priority="17" stopIfTrue="1">
      <formula>MOD(ROW(),2) = 1</formula>
    </cfRule>
  </conditionalFormatting>
  <conditionalFormatting sqref="I52">
    <cfRule type="expression" dxfId="710" priority="15" stopIfTrue="1">
      <formula>MOD(ROW(),2) = 1</formula>
    </cfRule>
  </conditionalFormatting>
  <conditionalFormatting sqref="I53">
    <cfRule type="expression" dxfId="709" priority="14" stopIfTrue="1">
      <formula>MOD(ROW(),2) = 1</formula>
    </cfRule>
  </conditionalFormatting>
  <conditionalFormatting sqref="I66">
    <cfRule type="expression" dxfId="708" priority="13" stopIfTrue="1">
      <formula>MOD(ROW(),2) = 1</formula>
    </cfRule>
  </conditionalFormatting>
  <conditionalFormatting sqref="I68">
    <cfRule type="expression" dxfId="707" priority="12" stopIfTrue="1">
      <formula>MOD(ROW(),2) = 1</formula>
    </cfRule>
  </conditionalFormatting>
  <conditionalFormatting sqref="AJ2:AK2">
    <cfRule type="expression" dxfId="706" priority="11" stopIfTrue="1">
      <formula>MOD(ROW(),2) = 1</formula>
    </cfRule>
  </conditionalFormatting>
  <conditionalFormatting sqref="AL2">
    <cfRule type="expression" dxfId="705" priority="10" stopIfTrue="1">
      <formula>MOD(ROW(),2) = 1</formula>
    </cfRule>
  </conditionalFormatting>
  <conditionalFormatting sqref="AM2">
    <cfRule type="expression" dxfId="704" priority="9" stopIfTrue="1">
      <formula>MOD(ROW(),2) = 1</formula>
    </cfRule>
  </conditionalFormatting>
  <conditionalFormatting sqref="AJ3:AK3">
    <cfRule type="expression" dxfId="703" priority="8" stopIfTrue="1">
      <formula>MOD(ROW(),2) = 1</formula>
    </cfRule>
  </conditionalFormatting>
  <conditionalFormatting sqref="AL3">
    <cfRule type="expression" dxfId="702" priority="7" stopIfTrue="1">
      <formula>MOD(ROW(),2) = 1</formula>
    </cfRule>
  </conditionalFormatting>
  <conditionalFormatting sqref="AM3">
    <cfRule type="expression" dxfId="701" priority="6" stopIfTrue="1">
      <formula>MOD(ROW(),2) = 1</formula>
    </cfRule>
  </conditionalFormatting>
  <conditionalFormatting sqref="R2">
    <cfRule type="expression" dxfId="700" priority="5" stopIfTrue="1">
      <formula>MOD(ROW(),2) = 1</formula>
    </cfRule>
  </conditionalFormatting>
  <conditionalFormatting sqref="R3">
    <cfRule type="expression" dxfId="699" priority="4" stopIfTrue="1">
      <formula>MOD(ROW(),2) = 1</formula>
    </cfRule>
  </conditionalFormatting>
  <conditionalFormatting sqref="T2">
    <cfRule type="expression" dxfId="698" priority="3" stopIfTrue="1">
      <formula>MOD(ROW(),2) = 1</formula>
    </cfRule>
  </conditionalFormatting>
  <conditionalFormatting sqref="V2">
    <cfRule type="expression" dxfId="697" priority="2" stopIfTrue="1">
      <formula>MOD(ROW(),2) = 1</formula>
    </cfRule>
  </conditionalFormatting>
  <conditionalFormatting sqref="V3">
    <cfRule type="expression" dxfId="696" priority="1" stopIfTrue="1">
      <formula>MOD(ROW(),2) = 1</formula>
    </cfRule>
  </conditionalFormatting>
  <pageMargins left="0.25" right="0.25" top="0.75" bottom="0.75" header="0.3" footer="0.3"/>
  <pageSetup paperSize="9" scale="13" fitToHeight="0" orientation="portrait"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Coloring">
                <anchor moveWithCells="1" sizeWithCells="1">
                  <from>
                    <xdr:col>1</xdr:col>
                    <xdr:colOff>1035050</xdr:colOff>
                    <xdr:row>0</xdr:row>
                    <xdr:rowOff>31750</xdr:rowOff>
                  </from>
                  <to>
                    <xdr:col>2</xdr:col>
                    <xdr:colOff>717550</xdr:colOff>
                    <xdr:row>0</xdr:row>
                    <xdr:rowOff>292100</xdr:rowOff>
                  </to>
                </anchor>
              </controlPr>
            </control>
          </mc:Choice>
        </mc:AlternateContent>
        <mc:AlternateContent xmlns:mc="http://schemas.openxmlformats.org/markup-compatibility/2006">
          <mc:Choice Requires="x14">
            <control shapeId="1055" r:id="rId5" name="Button 31">
              <controlPr defaultSize="0" print="0" autoFill="0" autoPict="0" macro="[0]!WRITE_CSVFile3">
                <anchor moveWithCells="1" sizeWithCells="1">
                  <from>
                    <xdr:col>1</xdr:col>
                    <xdr:colOff>76200</xdr:colOff>
                    <xdr:row>0</xdr:row>
                    <xdr:rowOff>31750</xdr:rowOff>
                  </from>
                  <to>
                    <xdr:col>1</xdr:col>
                    <xdr:colOff>1016000</xdr:colOff>
                    <xdr:row>0</xdr:row>
                    <xdr:rowOff>292100</xdr:rowOff>
                  </to>
                </anchor>
              </controlPr>
            </control>
          </mc:Choice>
        </mc:AlternateContent>
        <mc:AlternateContent xmlns:mc="http://schemas.openxmlformats.org/markup-compatibility/2006">
          <mc:Choice Requires="x14">
            <control shapeId="1067" r:id="rId6" name="Button 43">
              <controlPr defaultSize="0" print="0" autoFill="0" autoPict="0" macro="[0]!Coloring">
                <anchor moveWithCells="1" sizeWithCells="1">
                  <from>
                    <xdr:col>1</xdr:col>
                    <xdr:colOff>260350</xdr:colOff>
                    <xdr:row>0</xdr:row>
                    <xdr:rowOff>31750</xdr:rowOff>
                  </from>
                  <to>
                    <xdr:col>1</xdr:col>
                    <xdr:colOff>984250</xdr:colOff>
                    <xdr:row>0</xdr:row>
                    <xdr:rowOff>228600</xdr:rowOff>
                  </to>
                </anchor>
              </controlPr>
            </control>
          </mc:Choice>
        </mc:AlternateContent>
        <mc:AlternateContent xmlns:mc="http://schemas.openxmlformats.org/markup-compatibility/2006">
          <mc:Choice Requires="x14">
            <control shapeId="1068" r:id="rId7" name="Button 44">
              <controlPr defaultSize="0" print="0" autoFill="0" autoPict="0" macro="[0]!Coloring">
                <anchor moveWithCells="1" sizeWithCells="1">
                  <from>
                    <xdr:col>1</xdr:col>
                    <xdr:colOff>1035050</xdr:colOff>
                    <xdr:row>0</xdr:row>
                    <xdr:rowOff>31750</xdr:rowOff>
                  </from>
                  <to>
                    <xdr:col>2</xdr:col>
                    <xdr:colOff>717550</xdr:colOff>
                    <xdr:row>0</xdr:row>
                    <xdr:rowOff>292100</xdr:rowOff>
                  </to>
                </anchor>
              </controlPr>
            </control>
          </mc:Choice>
        </mc:AlternateContent>
        <mc:AlternateContent xmlns:mc="http://schemas.openxmlformats.org/markup-compatibility/2006">
          <mc:Choice Requires="x14">
            <control shapeId="1069" r:id="rId8" name="Button 45">
              <controlPr defaultSize="0" print="0" autoFill="0" autoPict="0" macro="[0]!WRITE_CSVFile3">
                <anchor moveWithCells="1" sizeWithCells="1">
                  <from>
                    <xdr:col>1</xdr:col>
                    <xdr:colOff>76200</xdr:colOff>
                    <xdr:row>0</xdr:row>
                    <xdr:rowOff>31750</xdr:rowOff>
                  </from>
                  <to>
                    <xdr:col>1</xdr:col>
                    <xdr:colOff>1016000</xdr:colOff>
                    <xdr:row>0</xdr:row>
                    <xdr:rowOff>292100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pageSetUpPr fitToPage="1"/>
  </sheetPr>
  <dimension ref="A1:CD87"/>
  <sheetViews>
    <sheetView zoomScale="115" zoomScaleNormal="115" workbookViewId="0">
      <pane xSplit="2" ySplit="1" topLeftCell="AT2" activePane="bottomRight" state="frozen"/>
      <selection pane="topRight" activeCell="C1" sqref="C1"/>
      <selection pane="bottomLeft" activeCell="A2" sqref="A2"/>
      <selection pane="bottomRight" activeCell="AT3" sqref="AT3"/>
    </sheetView>
  </sheetViews>
  <sheetFormatPr defaultColWidth="9.33203125" defaultRowHeight="12"/>
  <cols>
    <col min="1" max="1" width="9.33203125" style="8"/>
    <col min="2" max="2" width="34.33203125" style="32" customWidth="1"/>
    <col min="3" max="3" width="20.109375" style="32" customWidth="1"/>
    <col min="4" max="4" width="19" style="32" customWidth="1"/>
    <col min="5" max="5" width="22.88671875" style="32" customWidth="1"/>
    <col min="6" max="6" width="13" style="8" customWidth="1"/>
    <col min="7" max="7" width="13.6640625" style="8" customWidth="1"/>
    <col min="8" max="8" width="13.88671875" style="8" customWidth="1"/>
    <col min="9" max="9" width="15" style="8" customWidth="1"/>
    <col min="10" max="10" width="14.33203125" style="8" customWidth="1"/>
    <col min="11" max="11" width="16.109375" style="8" customWidth="1"/>
    <col min="12" max="14" width="9.33203125" style="8"/>
    <col min="15" max="15" width="14.6640625" style="8" customWidth="1"/>
    <col min="16" max="17" width="9.33203125" style="8"/>
    <col min="18" max="18" width="28" style="8" customWidth="1"/>
    <col min="19" max="19" width="9.33203125" style="8"/>
    <col min="20" max="20" width="20" style="8" customWidth="1"/>
    <col min="21" max="21" width="20.44140625" style="8" customWidth="1"/>
    <col min="22" max="22" width="26" style="8" customWidth="1"/>
    <col min="23" max="23" width="9.33203125" style="8" customWidth="1"/>
    <col min="24" max="28" width="14.88671875" style="8" customWidth="1"/>
    <col min="29" max="29" width="12.33203125" style="8" customWidth="1"/>
    <col min="30" max="30" width="15.33203125" style="8" customWidth="1"/>
    <col min="31" max="31" width="16.33203125" style="8" customWidth="1"/>
    <col min="32" max="34" width="9.33203125" style="8"/>
    <col min="35" max="35" width="38.21875" style="8" customWidth="1"/>
    <col min="36" max="36" width="39" style="8" customWidth="1"/>
    <col min="37" max="37" width="21" style="8" customWidth="1"/>
    <col min="38" max="38" width="30" style="8" customWidth="1"/>
    <col min="39" max="39" width="27.109375" style="8" customWidth="1"/>
    <col min="40" max="40" width="9.33203125" style="8"/>
    <col min="41" max="41" width="15.44140625" style="8" customWidth="1"/>
    <col min="42" max="42" width="16.33203125" style="8" customWidth="1"/>
    <col min="43" max="43" width="21.88671875" style="8" customWidth="1"/>
    <col min="44" max="44" width="21.6640625" style="8" customWidth="1"/>
    <col min="45" max="45" width="14.109375" style="8" customWidth="1"/>
    <col min="46" max="50" width="9.33203125" style="8"/>
    <col min="51" max="51" width="25.109375" style="8" customWidth="1"/>
    <col min="52" max="52" width="31.88671875" style="8" customWidth="1"/>
    <col min="53" max="53" width="9.33203125" style="8"/>
    <col min="54" max="54" width="45.88671875" style="8" customWidth="1"/>
    <col min="55" max="16384" width="9.33203125" style="8"/>
  </cols>
  <sheetData>
    <row r="1" spans="1:54" s="129" customFormat="1" ht="63.75" customHeight="1" thickBot="1">
      <c r="A1" s="177" t="s">
        <v>337</v>
      </c>
      <c r="B1" s="177" t="s">
        <v>338</v>
      </c>
      <c r="C1" s="177" t="s">
        <v>105</v>
      </c>
      <c r="D1" s="177" t="s">
        <v>877</v>
      </c>
      <c r="E1" s="177" t="s">
        <v>352</v>
      </c>
      <c r="F1" s="177" t="s">
        <v>354</v>
      </c>
      <c r="G1" s="177" t="s">
        <v>356</v>
      </c>
      <c r="H1" s="177" t="s">
        <v>358</v>
      </c>
      <c r="I1" s="177" t="s">
        <v>6</v>
      </c>
      <c r="J1" s="177" t="s">
        <v>701</v>
      </c>
      <c r="K1" s="177" t="s">
        <v>702</v>
      </c>
      <c r="L1" s="177" t="s">
        <v>8</v>
      </c>
      <c r="M1" s="177" t="s">
        <v>9</v>
      </c>
      <c r="N1" s="177" t="s">
        <v>10</v>
      </c>
      <c r="O1" s="177" t="s">
        <v>935</v>
      </c>
      <c r="P1" s="177" t="s">
        <v>381</v>
      </c>
      <c r="Q1" s="177" t="s">
        <v>875</v>
      </c>
      <c r="R1" s="177" t="s">
        <v>879</v>
      </c>
      <c r="S1" s="177" t="s">
        <v>342</v>
      </c>
      <c r="T1" s="177" t="s">
        <v>967</v>
      </c>
      <c r="U1" s="177" t="s">
        <v>969</v>
      </c>
      <c r="V1" s="177" t="s">
        <v>984</v>
      </c>
      <c r="W1" s="177" t="s">
        <v>1049</v>
      </c>
      <c r="X1" s="177" t="s">
        <v>21</v>
      </c>
      <c r="Y1" s="177" t="s">
        <v>377</v>
      </c>
      <c r="Z1" s="177" t="s">
        <v>23</v>
      </c>
      <c r="AA1" s="177" t="s">
        <v>24</v>
      </c>
      <c r="AB1" s="177" t="s">
        <v>25</v>
      </c>
      <c r="AC1" s="177" t="s">
        <v>349</v>
      </c>
      <c r="AD1" s="177" t="s">
        <v>391</v>
      </c>
      <c r="AE1" s="177" t="s">
        <v>392</v>
      </c>
      <c r="AF1" s="177" t="s">
        <v>347</v>
      </c>
      <c r="AG1" s="177" t="s">
        <v>348</v>
      </c>
      <c r="AH1" s="177" t="s">
        <v>350</v>
      </c>
      <c r="AI1" s="177" t="s">
        <v>1063</v>
      </c>
      <c r="AJ1" s="177" t="s">
        <v>1071</v>
      </c>
      <c r="AK1" s="177" t="s">
        <v>1072</v>
      </c>
      <c r="AL1" s="177" t="s">
        <v>1079</v>
      </c>
      <c r="AM1" s="177" t="s">
        <v>1084</v>
      </c>
      <c r="AN1" s="177" t="s">
        <v>331</v>
      </c>
      <c r="AO1" s="177" t="s">
        <v>332</v>
      </c>
      <c r="AP1" s="177" t="s">
        <v>333</v>
      </c>
      <c r="AQ1" s="177" t="s">
        <v>389</v>
      </c>
      <c r="AR1" s="177" t="s">
        <v>233</v>
      </c>
      <c r="AS1" s="177" t="s">
        <v>774</v>
      </c>
      <c r="AT1" s="177" t="s">
        <v>775</v>
      </c>
      <c r="AU1" s="177" t="s">
        <v>994</v>
      </c>
      <c r="AV1" s="177" t="s">
        <v>1331</v>
      </c>
      <c r="AW1" s="177" t="s">
        <v>1332</v>
      </c>
      <c r="AX1" s="177" t="s">
        <v>1333</v>
      </c>
      <c r="AY1" s="177" t="s">
        <v>1334</v>
      </c>
      <c r="AZ1" s="177" t="s">
        <v>1335</v>
      </c>
      <c r="BA1" s="177"/>
      <c r="BB1" s="177" t="s">
        <v>327</v>
      </c>
    </row>
    <row r="2" spans="1:54" ht="12.5" thickTop="1">
      <c r="A2" s="173" t="s">
        <v>26</v>
      </c>
      <c r="B2" s="29" t="s">
        <v>724</v>
      </c>
      <c r="C2" s="29" t="s">
        <v>27</v>
      </c>
      <c r="D2" s="29"/>
      <c r="E2" s="29" t="s">
        <v>28</v>
      </c>
      <c r="F2" s="173" t="s">
        <v>29</v>
      </c>
      <c r="G2" s="173"/>
      <c r="H2" s="173"/>
      <c r="I2" s="173" t="s">
        <v>30</v>
      </c>
      <c r="J2" s="173">
        <v>17.559999999999999</v>
      </c>
      <c r="K2" s="173"/>
      <c r="L2" s="173">
        <v>314</v>
      </c>
      <c r="M2" s="173">
        <v>276</v>
      </c>
      <c r="N2" s="173"/>
      <c r="O2" s="173"/>
      <c r="P2" s="173">
        <v>5</v>
      </c>
      <c r="Q2" s="173" t="s">
        <v>1103</v>
      </c>
      <c r="R2" s="173" t="s">
        <v>1114</v>
      </c>
      <c r="S2" s="173"/>
      <c r="T2" s="173"/>
      <c r="U2" s="174" t="s">
        <v>1120</v>
      </c>
      <c r="V2" s="173" t="s">
        <v>1121</v>
      </c>
      <c r="W2" s="173"/>
      <c r="X2" s="173">
        <v>1</v>
      </c>
      <c r="Y2" s="173"/>
      <c r="Z2" s="173"/>
      <c r="AA2" s="173"/>
      <c r="AB2" s="173"/>
      <c r="AC2" s="173"/>
      <c r="AD2" s="173"/>
      <c r="AE2" s="173"/>
      <c r="AF2" s="18"/>
      <c r="AG2" s="18"/>
      <c r="AH2" s="18"/>
      <c r="AI2" s="18" t="s">
        <v>1099</v>
      </c>
      <c r="AJ2" s="18" t="s">
        <v>1100</v>
      </c>
      <c r="AK2" s="18"/>
      <c r="AL2" s="173" t="s">
        <v>1101</v>
      </c>
      <c r="AM2" s="173" t="s">
        <v>1102</v>
      </c>
      <c r="AN2" s="18">
        <v>1</v>
      </c>
      <c r="AO2" s="18">
        <v>1</v>
      </c>
      <c r="AP2" s="18">
        <v>1</v>
      </c>
      <c r="AQ2" s="18"/>
      <c r="AR2" s="18"/>
      <c r="AS2" s="18"/>
      <c r="AT2" s="18"/>
      <c r="AU2" s="18"/>
      <c r="AV2" s="18"/>
      <c r="AW2" s="18"/>
      <c r="AX2" s="18"/>
      <c r="AY2" s="8">
        <v>3.4599999999999999E-2</v>
      </c>
      <c r="AZ2" s="8">
        <v>1.335</v>
      </c>
      <c r="BB2" s="173"/>
    </row>
    <row r="3" spans="1:54">
      <c r="A3" s="173" t="s">
        <v>26</v>
      </c>
      <c r="B3" s="29" t="s">
        <v>178</v>
      </c>
      <c r="C3" s="29" t="s">
        <v>31</v>
      </c>
      <c r="D3" s="29"/>
      <c r="E3" s="29" t="s">
        <v>28</v>
      </c>
      <c r="F3" s="173" t="s">
        <v>29</v>
      </c>
      <c r="G3" s="173"/>
      <c r="H3" s="173"/>
      <c r="I3" s="173" t="s">
        <v>30</v>
      </c>
      <c r="J3" s="173">
        <v>18.38</v>
      </c>
      <c r="K3" s="173"/>
      <c r="L3" s="173">
        <v>354</v>
      </c>
      <c r="M3" s="173">
        <v>299</v>
      </c>
      <c r="N3" s="173"/>
      <c r="O3" s="173"/>
      <c r="P3" s="173">
        <v>5</v>
      </c>
      <c r="Q3" s="173" t="s">
        <v>1103</v>
      </c>
      <c r="R3" s="173" t="s">
        <v>1115</v>
      </c>
      <c r="S3" s="173"/>
      <c r="T3" s="173"/>
      <c r="U3" s="174" t="s">
        <v>1122</v>
      </c>
      <c r="V3" s="173" t="s">
        <v>1123</v>
      </c>
      <c r="W3" s="173"/>
      <c r="X3" s="173">
        <v>1</v>
      </c>
      <c r="Y3" s="173"/>
      <c r="Z3" s="173"/>
      <c r="AA3" s="173"/>
      <c r="AB3" s="173"/>
      <c r="AC3" s="173"/>
      <c r="AD3" s="173"/>
      <c r="AE3" s="173"/>
      <c r="AF3" s="18"/>
      <c r="AG3" s="18"/>
      <c r="AH3" s="18"/>
      <c r="AI3" s="18" t="s">
        <v>1104</v>
      </c>
      <c r="AJ3" s="18" t="s">
        <v>1105</v>
      </c>
      <c r="AK3" s="18"/>
      <c r="AL3" s="173" t="s">
        <v>1106</v>
      </c>
      <c r="AM3" s="173" t="s">
        <v>1107</v>
      </c>
      <c r="AN3" s="18">
        <v>1</v>
      </c>
      <c r="AO3" s="18">
        <v>1</v>
      </c>
      <c r="AP3" s="18">
        <v>1</v>
      </c>
      <c r="AQ3" s="18"/>
      <c r="AR3" s="18"/>
      <c r="AS3" s="18"/>
      <c r="AT3" s="18"/>
      <c r="AU3" s="18"/>
      <c r="AV3" s="18"/>
      <c r="AW3" s="18"/>
      <c r="AX3" s="18"/>
      <c r="AY3" s="8">
        <v>5.3800000000000001E-2</v>
      </c>
      <c r="AZ3" s="8">
        <v>1.256</v>
      </c>
      <c r="BB3" s="173"/>
    </row>
    <row r="4" spans="1:54">
      <c r="A4" s="173" t="s">
        <v>26</v>
      </c>
      <c r="B4" s="29" t="s">
        <v>179</v>
      </c>
      <c r="C4" s="29" t="s">
        <v>32</v>
      </c>
      <c r="D4" s="29"/>
      <c r="E4" s="29" t="s">
        <v>28</v>
      </c>
      <c r="F4" s="173" t="s">
        <v>29</v>
      </c>
      <c r="G4" s="173"/>
      <c r="H4" s="173"/>
      <c r="I4" s="173" t="s">
        <v>30</v>
      </c>
      <c r="J4" s="173">
        <v>18.36</v>
      </c>
      <c r="K4" s="173"/>
      <c r="L4" s="173">
        <v>398</v>
      </c>
      <c r="M4" s="173">
        <v>275</v>
      </c>
      <c r="N4" s="173"/>
      <c r="O4" s="173"/>
      <c r="P4" s="173">
        <v>5</v>
      </c>
      <c r="Q4" s="173" t="s">
        <v>1103</v>
      </c>
      <c r="R4" s="173" t="s">
        <v>1356</v>
      </c>
      <c r="S4" s="173"/>
      <c r="T4" s="173"/>
      <c r="U4" s="174" t="s">
        <v>1357</v>
      </c>
      <c r="V4" s="173" t="s">
        <v>1358</v>
      </c>
      <c r="W4" s="173"/>
      <c r="X4" s="173">
        <v>1</v>
      </c>
      <c r="Y4" s="173"/>
      <c r="Z4" s="173"/>
      <c r="AA4" s="173"/>
      <c r="AB4" s="173"/>
      <c r="AC4" s="173"/>
      <c r="AD4" s="173"/>
      <c r="AE4" s="173"/>
      <c r="AF4" s="18"/>
      <c r="AG4" s="18"/>
      <c r="AH4" s="18"/>
      <c r="AI4" s="18" t="s">
        <v>1336</v>
      </c>
      <c r="AJ4" s="18" t="s">
        <v>1337</v>
      </c>
      <c r="AK4" s="18"/>
      <c r="AL4" s="173" t="s">
        <v>1338</v>
      </c>
      <c r="AM4" s="173" t="s">
        <v>1339</v>
      </c>
      <c r="AN4" s="18">
        <v>1</v>
      </c>
      <c r="AO4" s="18">
        <v>1</v>
      </c>
      <c r="AP4" s="18">
        <v>1</v>
      </c>
      <c r="AQ4" s="18"/>
      <c r="AR4" s="18"/>
      <c r="AS4" s="18"/>
      <c r="AT4" s="18"/>
      <c r="AU4" s="18"/>
      <c r="AV4" s="18"/>
      <c r="AW4" s="18"/>
      <c r="AX4" s="18"/>
      <c r="AY4" s="8">
        <v>0.47770000000000001</v>
      </c>
      <c r="AZ4" s="8">
        <v>9.9999999999999995E-8</v>
      </c>
      <c r="BB4" s="173"/>
    </row>
    <row r="5" spans="1:54">
      <c r="A5" s="173" t="s">
        <v>26</v>
      </c>
      <c r="B5" s="29" t="s">
        <v>180</v>
      </c>
      <c r="C5" s="29" t="s">
        <v>33</v>
      </c>
      <c r="D5" s="29"/>
      <c r="E5" s="29" t="s">
        <v>28</v>
      </c>
      <c r="F5" s="173" t="s">
        <v>29</v>
      </c>
      <c r="G5" s="173" t="s">
        <v>34</v>
      </c>
      <c r="H5" s="173">
        <v>1</v>
      </c>
      <c r="I5" s="173" t="s">
        <v>30</v>
      </c>
      <c r="J5" s="173">
        <v>18.77</v>
      </c>
      <c r="K5" s="173"/>
      <c r="L5" s="173">
        <v>391</v>
      </c>
      <c r="M5" s="173">
        <v>290</v>
      </c>
      <c r="N5" s="173"/>
      <c r="O5" s="173"/>
      <c r="P5" s="173">
        <v>5</v>
      </c>
      <c r="Q5" s="173" t="s">
        <v>1103</v>
      </c>
      <c r="R5" s="173" t="s">
        <v>1359</v>
      </c>
      <c r="S5" s="173"/>
      <c r="T5" s="173"/>
      <c r="U5" s="174" t="s">
        <v>1360</v>
      </c>
      <c r="V5" s="173" t="s">
        <v>1361</v>
      </c>
      <c r="W5" s="173"/>
      <c r="X5" s="173"/>
      <c r="Y5" s="173"/>
      <c r="Z5" s="173"/>
      <c r="AA5" s="173"/>
      <c r="AB5" s="173"/>
      <c r="AC5" s="173"/>
      <c r="AD5" s="173"/>
      <c r="AE5" s="173"/>
      <c r="AF5" s="18"/>
      <c r="AG5" s="18"/>
      <c r="AH5" s="18"/>
      <c r="AI5" s="18" t="s">
        <v>1340</v>
      </c>
      <c r="AJ5" s="18" t="s">
        <v>1341</v>
      </c>
      <c r="AK5" s="18"/>
      <c r="AL5" s="173" t="s">
        <v>1342</v>
      </c>
      <c r="AM5" s="173" t="s">
        <v>1343</v>
      </c>
      <c r="AN5" s="18">
        <v>1</v>
      </c>
      <c r="AO5" s="18">
        <v>1</v>
      </c>
      <c r="AP5" s="18">
        <v>1</v>
      </c>
      <c r="AQ5" s="18"/>
      <c r="AR5" s="18"/>
      <c r="AS5" s="18"/>
      <c r="AT5" s="18"/>
      <c r="AU5" s="18"/>
      <c r="AV5" s="18"/>
      <c r="AW5" s="18"/>
      <c r="AX5" s="18"/>
      <c r="AY5" s="8">
        <v>0.47770000000000001</v>
      </c>
      <c r="AZ5" s="8">
        <v>9.9999999999999995E-8</v>
      </c>
      <c r="BB5" s="173"/>
    </row>
    <row r="6" spans="1:54">
      <c r="A6" s="173" t="s">
        <v>26</v>
      </c>
      <c r="B6" s="29" t="s">
        <v>181</v>
      </c>
      <c r="C6" s="29" t="s">
        <v>35</v>
      </c>
      <c r="D6" s="29"/>
      <c r="E6" s="29" t="s">
        <v>36</v>
      </c>
      <c r="F6" s="173" t="s">
        <v>500</v>
      </c>
      <c r="G6" s="173" t="s">
        <v>34</v>
      </c>
      <c r="H6" s="173">
        <v>1</v>
      </c>
      <c r="I6" s="173" t="s">
        <v>30</v>
      </c>
      <c r="J6" s="173">
        <v>18.48</v>
      </c>
      <c r="K6" s="173"/>
      <c r="L6" s="173">
        <v>387</v>
      </c>
      <c r="M6" s="173">
        <v>280</v>
      </c>
      <c r="N6" s="173"/>
      <c r="O6" s="173"/>
      <c r="P6" s="173">
        <v>5</v>
      </c>
      <c r="Q6" s="173" t="s">
        <v>1103</v>
      </c>
      <c r="R6" s="173" t="s">
        <v>1362</v>
      </c>
      <c r="S6" s="173"/>
      <c r="T6" s="173"/>
      <c r="U6" s="174" t="s">
        <v>1363</v>
      </c>
      <c r="V6" s="173" t="s">
        <v>1364</v>
      </c>
      <c r="W6" s="173"/>
      <c r="X6" s="173">
        <v>1</v>
      </c>
      <c r="Y6" s="173"/>
      <c r="Z6" s="173"/>
      <c r="AA6" s="173"/>
      <c r="AB6" s="173"/>
      <c r="AC6" s="173"/>
      <c r="AD6" s="173"/>
      <c r="AE6" s="173"/>
      <c r="AF6" s="18"/>
      <c r="AG6" s="18"/>
      <c r="AH6" s="18"/>
      <c r="AI6" s="18" t="s">
        <v>1344</v>
      </c>
      <c r="AJ6" s="18" t="s">
        <v>1345</v>
      </c>
      <c r="AK6" s="18"/>
      <c r="AL6" s="173" t="s">
        <v>1346</v>
      </c>
      <c r="AM6" s="173" t="s">
        <v>1347</v>
      </c>
      <c r="AN6" s="18">
        <v>1</v>
      </c>
      <c r="AO6" s="18">
        <v>1</v>
      </c>
      <c r="AP6" s="18">
        <v>1</v>
      </c>
      <c r="AQ6" s="18"/>
      <c r="AR6" s="18"/>
      <c r="AS6" s="18"/>
      <c r="AT6" s="18"/>
      <c r="AU6" s="18"/>
      <c r="AV6" s="18"/>
      <c r="AW6" s="18"/>
      <c r="AX6" s="18"/>
      <c r="AY6" s="8">
        <v>0.47770000000000001</v>
      </c>
      <c r="AZ6" s="8">
        <v>9.9999999999999995E-8</v>
      </c>
      <c r="BB6" s="173"/>
    </row>
    <row r="7" spans="1:54">
      <c r="A7" s="39" t="s">
        <v>26</v>
      </c>
      <c r="B7" s="45" t="s">
        <v>182</v>
      </c>
      <c r="C7" s="27" t="s">
        <v>37</v>
      </c>
      <c r="D7" s="27"/>
      <c r="E7" s="27" t="s">
        <v>36</v>
      </c>
      <c r="F7" s="39" t="s">
        <v>29</v>
      </c>
      <c r="G7" s="39"/>
      <c r="H7" s="39"/>
      <c r="I7" s="39" t="s">
        <v>169</v>
      </c>
      <c r="J7" s="39">
        <v>35.71</v>
      </c>
      <c r="K7" s="39"/>
      <c r="L7" s="39">
        <v>723</v>
      </c>
      <c r="M7" s="39">
        <v>570</v>
      </c>
      <c r="N7" s="39"/>
      <c r="O7" s="39"/>
      <c r="P7" s="39">
        <v>5</v>
      </c>
      <c r="Q7" s="173" t="s">
        <v>1103</v>
      </c>
      <c r="R7" s="173" t="s">
        <v>1365</v>
      </c>
      <c r="S7" s="173"/>
      <c r="T7" s="173"/>
      <c r="U7" s="174" t="s">
        <v>1366</v>
      </c>
      <c r="V7" s="173" t="s">
        <v>1367</v>
      </c>
      <c r="W7" s="39"/>
      <c r="X7" s="39"/>
      <c r="Y7" s="39"/>
      <c r="Z7" s="39"/>
      <c r="AA7" s="39"/>
      <c r="AB7" s="39"/>
      <c r="AC7" s="39"/>
      <c r="AD7" s="39"/>
      <c r="AE7" s="39"/>
      <c r="AF7" s="10"/>
      <c r="AG7" s="10"/>
      <c r="AH7" s="10"/>
      <c r="AI7" s="18" t="s">
        <v>1348</v>
      </c>
      <c r="AJ7" s="18" t="s">
        <v>1349</v>
      </c>
      <c r="AK7" s="18"/>
      <c r="AL7" s="173" t="s">
        <v>1350</v>
      </c>
      <c r="AM7" s="173" t="s">
        <v>1351</v>
      </c>
      <c r="AN7" s="10">
        <v>1</v>
      </c>
      <c r="AO7" s="10">
        <v>1</v>
      </c>
      <c r="AP7" s="10">
        <v>1</v>
      </c>
      <c r="AQ7" s="10"/>
      <c r="AR7" s="10"/>
      <c r="AS7" s="10"/>
      <c r="AT7" s="10"/>
      <c r="AU7" s="10"/>
      <c r="AV7" s="10"/>
      <c r="AW7" s="10"/>
      <c r="AX7" s="10"/>
      <c r="AY7" s="8">
        <v>0.47770000000000001</v>
      </c>
      <c r="AZ7" s="8">
        <v>9.9999999999999995E-8</v>
      </c>
      <c r="BB7" s="39"/>
    </row>
    <row r="8" spans="1:54">
      <c r="A8" s="173" t="s">
        <v>26</v>
      </c>
      <c r="B8" s="29" t="s">
        <v>183</v>
      </c>
      <c r="C8" s="29" t="s">
        <v>39</v>
      </c>
      <c r="D8" s="29"/>
      <c r="E8" s="29" t="s">
        <v>36</v>
      </c>
      <c r="F8" s="173" t="s">
        <v>500</v>
      </c>
      <c r="G8" s="173"/>
      <c r="H8" s="173"/>
      <c r="I8" s="173" t="s">
        <v>30</v>
      </c>
      <c r="J8" s="173">
        <v>18.62</v>
      </c>
      <c r="K8" s="173"/>
      <c r="L8" s="173">
        <v>369</v>
      </c>
      <c r="M8" s="173">
        <v>289</v>
      </c>
      <c r="N8" s="173"/>
      <c r="O8" s="173"/>
      <c r="P8" s="173">
        <v>5</v>
      </c>
      <c r="Q8" s="173" t="s">
        <v>1103</v>
      </c>
      <c r="R8" s="173" t="s">
        <v>1368</v>
      </c>
      <c r="S8" s="173"/>
      <c r="T8" s="173"/>
      <c r="U8" s="174" t="s">
        <v>1369</v>
      </c>
      <c r="V8" s="173" t="s">
        <v>1370</v>
      </c>
      <c r="W8" s="173"/>
      <c r="X8" s="173"/>
      <c r="Y8" s="173"/>
      <c r="Z8" s="173"/>
      <c r="AA8" s="173">
        <v>1</v>
      </c>
      <c r="AB8" s="173"/>
      <c r="AC8" s="173"/>
      <c r="AD8" s="173"/>
      <c r="AE8" s="173"/>
      <c r="AF8" s="18"/>
      <c r="AG8" s="18"/>
      <c r="AH8" s="18"/>
      <c r="AI8" s="18" t="s">
        <v>1355</v>
      </c>
      <c r="AJ8" s="18" t="s">
        <v>1352</v>
      </c>
      <c r="AK8" s="18"/>
      <c r="AL8" s="173" t="s">
        <v>1353</v>
      </c>
      <c r="AM8" s="173" t="s">
        <v>1354</v>
      </c>
      <c r="AN8" s="18">
        <v>1</v>
      </c>
      <c r="AO8" s="18">
        <v>1</v>
      </c>
      <c r="AP8" s="18">
        <v>1</v>
      </c>
      <c r="AQ8" s="18"/>
      <c r="AR8" s="18"/>
      <c r="AS8" s="18"/>
      <c r="AT8" s="18"/>
      <c r="AU8" s="18"/>
      <c r="AV8" s="18"/>
      <c r="AW8" s="18"/>
      <c r="AX8" s="18"/>
      <c r="AY8" s="8">
        <v>0.47770000000000001</v>
      </c>
      <c r="AZ8" s="8">
        <v>9.9999999999999995E-8</v>
      </c>
      <c r="BB8" s="173" t="s">
        <v>40</v>
      </c>
    </row>
    <row r="9" spans="1:54">
      <c r="A9" s="173" t="s">
        <v>26</v>
      </c>
      <c r="B9" s="29" t="s">
        <v>184</v>
      </c>
      <c r="C9" s="29" t="s">
        <v>41</v>
      </c>
      <c r="D9" s="29"/>
      <c r="E9" s="29" t="s">
        <v>42</v>
      </c>
      <c r="F9" s="173"/>
      <c r="G9" s="173" t="s">
        <v>34</v>
      </c>
      <c r="H9" s="173">
        <v>2</v>
      </c>
      <c r="I9" s="173" t="s">
        <v>30</v>
      </c>
      <c r="J9" s="173">
        <v>19.07</v>
      </c>
      <c r="K9" s="173"/>
      <c r="L9" s="173">
        <v>347</v>
      </c>
      <c r="M9" s="173">
        <v>283</v>
      </c>
      <c r="N9" s="173"/>
      <c r="O9" s="173"/>
      <c r="P9" s="173">
        <v>5</v>
      </c>
      <c r="Q9" s="173" t="s">
        <v>1103</v>
      </c>
      <c r="R9" s="173"/>
      <c r="S9" s="173"/>
      <c r="T9" s="173"/>
      <c r="U9" s="173"/>
      <c r="V9" s="173"/>
      <c r="W9" s="173"/>
      <c r="X9" s="173"/>
      <c r="Y9" s="173"/>
      <c r="Z9" s="173"/>
      <c r="AA9" s="173"/>
      <c r="AB9" s="173"/>
      <c r="AC9" s="173"/>
      <c r="AD9" s="173"/>
      <c r="AE9" s="173"/>
      <c r="AF9" s="18"/>
      <c r="AG9" s="18"/>
      <c r="AH9" s="18"/>
      <c r="AI9" s="18"/>
      <c r="AJ9" s="18"/>
      <c r="AK9" s="18"/>
      <c r="AL9" s="18"/>
      <c r="AM9" s="18"/>
      <c r="AN9" s="18">
        <v>1</v>
      </c>
      <c r="AO9" s="18">
        <v>1</v>
      </c>
      <c r="AP9" s="18">
        <v>1</v>
      </c>
      <c r="AQ9" s="18"/>
      <c r="AR9" s="18"/>
      <c r="AS9" s="18"/>
      <c r="AT9" s="18"/>
      <c r="AU9" s="18"/>
      <c r="AV9" s="18"/>
      <c r="AW9" s="18"/>
      <c r="AX9" s="18"/>
      <c r="AY9" s="8">
        <v>0.47770000000000001</v>
      </c>
      <c r="AZ9" s="8">
        <v>9.9999999999999995E-8</v>
      </c>
      <c r="BB9" s="173"/>
    </row>
    <row r="10" spans="1:54">
      <c r="A10" s="173" t="s">
        <v>26</v>
      </c>
      <c r="B10" s="29" t="s">
        <v>185</v>
      </c>
      <c r="C10" s="29" t="s">
        <v>43</v>
      </c>
      <c r="D10" s="29"/>
      <c r="E10" s="29" t="s">
        <v>44</v>
      </c>
      <c r="F10" s="173"/>
      <c r="G10" s="173" t="s">
        <v>34</v>
      </c>
      <c r="H10" s="173">
        <v>2</v>
      </c>
      <c r="I10" s="173" t="s">
        <v>30</v>
      </c>
      <c r="J10" s="173">
        <v>19.07</v>
      </c>
      <c r="K10" s="173"/>
      <c r="L10" s="173">
        <v>392</v>
      </c>
      <c r="M10" s="173">
        <v>296</v>
      </c>
      <c r="N10" s="173"/>
      <c r="O10" s="173"/>
      <c r="P10" s="173">
        <v>5</v>
      </c>
      <c r="Q10" s="173" t="s">
        <v>1103</v>
      </c>
      <c r="R10" s="173"/>
      <c r="S10" s="173"/>
      <c r="T10" s="173"/>
      <c r="U10" s="173"/>
      <c r="V10" s="173"/>
      <c r="W10" s="173"/>
      <c r="X10" s="173"/>
      <c r="Y10" s="173"/>
      <c r="Z10" s="173"/>
      <c r="AA10" s="173"/>
      <c r="AB10" s="173"/>
      <c r="AC10" s="173"/>
      <c r="AD10" s="173"/>
      <c r="AE10" s="173"/>
      <c r="AF10" s="18"/>
      <c r="AG10" s="18"/>
      <c r="AH10" s="18"/>
      <c r="AI10" s="18"/>
      <c r="AJ10" s="18"/>
      <c r="AK10" s="18"/>
      <c r="AL10" s="18"/>
      <c r="AM10" s="18"/>
      <c r="AN10" s="18">
        <v>1</v>
      </c>
      <c r="AO10" s="18">
        <v>1</v>
      </c>
      <c r="AP10" s="18">
        <v>1</v>
      </c>
      <c r="AQ10" s="18"/>
      <c r="AR10" s="18"/>
      <c r="AS10" s="18"/>
      <c r="AT10" s="18"/>
      <c r="AU10" s="18"/>
      <c r="AV10" s="18"/>
      <c r="AW10" s="18"/>
      <c r="AX10" s="18"/>
      <c r="AY10" s="8">
        <v>0.47770000000000001</v>
      </c>
      <c r="AZ10" s="8">
        <v>9.9999999999999995E-8</v>
      </c>
      <c r="BB10" s="173"/>
    </row>
    <row r="11" spans="1:54">
      <c r="A11" s="173" t="s">
        <v>26</v>
      </c>
      <c r="B11" s="29" t="s">
        <v>186</v>
      </c>
      <c r="C11" s="29" t="s">
        <v>45</v>
      </c>
      <c r="D11" s="29"/>
      <c r="E11" s="29" t="s">
        <v>46</v>
      </c>
      <c r="F11" s="173" t="s">
        <v>34</v>
      </c>
      <c r="G11" s="173"/>
      <c r="H11" s="173"/>
      <c r="I11" s="173" t="s">
        <v>30</v>
      </c>
      <c r="J11" s="173">
        <v>18.82</v>
      </c>
      <c r="K11" s="173"/>
      <c r="L11" s="173">
        <v>346</v>
      </c>
      <c r="M11" s="173">
        <v>291</v>
      </c>
      <c r="N11" s="173"/>
      <c r="O11" s="173"/>
      <c r="P11" s="173">
        <v>5</v>
      </c>
      <c r="Q11" s="173" t="s">
        <v>1103</v>
      </c>
      <c r="R11" s="173"/>
      <c r="S11" s="173"/>
      <c r="T11" s="173"/>
      <c r="U11" s="173"/>
      <c r="V11" s="173"/>
      <c r="W11" s="173"/>
      <c r="X11" s="173"/>
      <c r="Y11" s="173"/>
      <c r="Z11" s="173"/>
      <c r="AA11" s="173"/>
      <c r="AB11" s="173"/>
      <c r="AC11" s="173"/>
      <c r="AD11" s="173"/>
      <c r="AE11" s="173"/>
      <c r="AF11" s="18"/>
      <c r="AG11" s="18"/>
      <c r="AH11" s="18"/>
      <c r="AI11" s="18"/>
      <c r="AJ11" s="18"/>
      <c r="AK11" s="18"/>
      <c r="AL11" s="18"/>
      <c r="AM11" s="18"/>
      <c r="AN11" s="18">
        <v>1</v>
      </c>
      <c r="AO11" s="18">
        <v>1</v>
      </c>
      <c r="AP11" s="18">
        <v>1</v>
      </c>
      <c r="AQ11" s="18"/>
      <c r="AR11" s="18"/>
      <c r="AS11" s="18"/>
      <c r="AT11" s="18"/>
      <c r="AU11" s="18"/>
      <c r="AV11" s="18"/>
      <c r="AW11" s="18"/>
      <c r="AX11" s="18"/>
      <c r="AY11" s="8">
        <v>0.47770000000000001</v>
      </c>
      <c r="AZ11" s="8">
        <v>9.9999999999999995E-8</v>
      </c>
      <c r="BB11" s="173"/>
    </row>
    <row r="12" spans="1:54">
      <c r="A12" s="39" t="s">
        <v>26</v>
      </c>
      <c r="B12" s="27" t="s">
        <v>187</v>
      </c>
      <c r="C12" s="27" t="s">
        <v>47</v>
      </c>
      <c r="D12" s="27"/>
      <c r="E12" s="27" t="s">
        <v>46</v>
      </c>
      <c r="F12" s="39" t="s">
        <v>34</v>
      </c>
      <c r="G12" s="39"/>
      <c r="H12" s="39"/>
      <c r="I12" s="39" t="s">
        <v>38</v>
      </c>
      <c r="J12" s="39">
        <v>37.94</v>
      </c>
      <c r="K12" s="39"/>
      <c r="L12" s="39">
        <v>695</v>
      </c>
      <c r="M12" s="39">
        <v>540</v>
      </c>
      <c r="N12" s="39"/>
      <c r="O12" s="39"/>
      <c r="P12" s="39">
        <v>5</v>
      </c>
      <c r="Q12" s="173" t="s">
        <v>1103</v>
      </c>
      <c r="R12" s="39"/>
      <c r="S12" s="39"/>
      <c r="T12" s="39"/>
      <c r="U12" s="39"/>
      <c r="V12" s="39"/>
      <c r="W12" s="39"/>
      <c r="X12" s="39"/>
      <c r="Y12" s="39"/>
      <c r="Z12" s="39"/>
      <c r="AA12" s="39"/>
      <c r="AB12" s="39"/>
      <c r="AC12" s="39"/>
      <c r="AD12" s="39"/>
      <c r="AE12" s="39"/>
      <c r="AF12" s="10"/>
      <c r="AG12" s="10"/>
      <c r="AH12" s="10"/>
      <c r="AI12" s="10"/>
      <c r="AJ12" s="10"/>
      <c r="AK12" s="10"/>
      <c r="AL12" s="10"/>
      <c r="AM12" s="10"/>
      <c r="AN12" s="10">
        <v>1</v>
      </c>
      <c r="AO12" s="10">
        <v>1</v>
      </c>
      <c r="AP12" s="10">
        <v>1</v>
      </c>
      <c r="AQ12" s="10"/>
      <c r="AR12" s="10"/>
      <c r="AS12" s="10"/>
      <c r="AT12" s="10"/>
      <c r="AU12" s="10"/>
      <c r="AV12" s="10"/>
      <c r="AW12" s="10"/>
      <c r="AX12" s="10"/>
      <c r="AY12" s="8">
        <v>0.47770000000000001</v>
      </c>
      <c r="AZ12" s="8">
        <v>9.9999999999999995E-8</v>
      </c>
      <c r="BB12" s="39"/>
    </row>
    <row r="13" spans="1:54">
      <c r="A13" s="39" t="s">
        <v>26</v>
      </c>
      <c r="B13" s="27" t="s">
        <v>188</v>
      </c>
      <c r="C13" s="27" t="s">
        <v>48</v>
      </c>
      <c r="D13" s="27"/>
      <c r="E13" s="27" t="s">
        <v>46</v>
      </c>
      <c r="F13" s="39" t="s">
        <v>34</v>
      </c>
      <c r="G13" s="39"/>
      <c r="H13" s="39"/>
      <c r="I13" s="39" t="s">
        <v>38</v>
      </c>
      <c r="J13" s="39">
        <v>6.08</v>
      </c>
      <c r="K13" s="39"/>
      <c r="L13" s="39">
        <v>724</v>
      </c>
      <c r="M13" s="39">
        <v>463</v>
      </c>
      <c r="N13" s="39"/>
      <c r="O13" s="39"/>
      <c r="P13" s="39">
        <v>5</v>
      </c>
      <c r="Q13" s="173" t="s">
        <v>1103</v>
      </c>
      <c r="R13" s="39"/>
      <c r="S13" s="39"/>
      <c r="T13" s="39"/>
      <c r="U13" s="39"/>
      <c r="V13" s="39"/>
      <c r="W13" s="39"/>
      <c r="X13" s="39"/>
      <c r="Y13" s="39"/>
      <c r="Z13" s="39"/>
      <c r="AA13" s="39">
        <v>1</v>
      </c>
      <c r="AB13" s="39"/>
      <c r="AC13" s="39"/>
      <c r="AD13" s="39">
        <v>1</v>
      </c>
      <c r="AE13" s="39">
        <v>1</v>
      </c>
      <c r="AF13" s="10">
        <v>396.87799999999999</v>
      </c>
      <c r="AG13" s="10">
        <v>170</v>
      </c>
      <c r="AH13" s="10"/>
      <c r="AI13" s="10"/>
      <c r="AJ13" s="10"/>
      <c r="AK13" s="10"/>
      <c r="AL13" s="10"/>
      <c r="AM13" s="10"/>
      <c r="AN13" s="10">
        <v>1</v>
      </c>
      <c r="AO13" s="10">
        <v>1</v>
      </c>
      <c r="AP13" s="10">
        <v>1</v>
      </c>
      <c r="AQ13" s="10"/>
      <c r="AR13" s="10"/>
      <c r="AS13" s="10"/>
      <c r="AT13" s="10"/>
      <c r="AU13" s="10"/>
      <c r="AV13" s="10"/>
      <c r="AW13" s="10"/>
      <c r="AX13" s="10"/>
      <c r="AY13" s="8">
        <v>0.47770000000000001</v>
      </c>
      <c r="AZ13" s="8">
        <v>9.9999999999999995E-8</v>
      </c>
      <c r="BB13" s="39"/>
    </row>
    <row r="14" spans="1:54">
      <c r="A14" s="173" t="s">
        <v>26</v>
      </c>
      <c r="B14" s="29" t="s">
        <v>189</v>
      </c>
      <c r="C14" s="29" t="s">
        <v>49</v>
      </c>
      <c r="D14" s="29"/>
      <c r="E14" s="29" t="s">
        <v>50</v>
      </c>
      <c r="F14" s="173" t="s">
        <v>34</v>
      </c>
      <c r="G14" s="173"/>
      <c r="H14" s="173"/>
      <c r="I14" s="173" t="s">
        <v>30</v>
      </c>
      <c r="J14" s="173">
        <v>18.82</v>
      </c>
      <c r="K14" s="173"/>
      <c r="L14" s="173">
        <v>367</v>
      </c>
      <c r="M14" s="173">
        <v>293</v>
      </c>
      <c r="N14" s="173"/>
      <c r="O14" s="173"/>
      <c r="P14" s="173">
        <v>5</v>
      </c>
      <c r="Q14" s="173" t="s">
        <v>1103</v>
      </c>
      <c r="R14" s="173"/>
      <c r="S14" s="173"/>
      <c r="T14" s="173"/>
      <c r="U14" s="173"/>
      <c r="V14" s="173"/>
      <c r="W14" s="173"/>
      <c r="X14" s="173"/>
      <c r="Y14" s="173"/>
      <c r="Z14" s="173"/>
      <c r="AA14" s="173"/>
      <c r="AB14" s="173"/>
      <c r="AC14" s="173"/>
      <c r="AD14" s="173"/>
      <c r="AE14" s="173"/>
      <c r="AF14" s="18"/>
      <c r="AG14" s="18"/>
      <c r="AH14" s="18"/>
      <c r="AI14" s="18"/>
      <c r="AJ14" s="18"/>
      <c r="AK14" s="18"/>
      <c r="AL14" s="18"/>
      <c r="AM14" s="18"/>
      <c r="AN14" s="18">
        <v>1</v>
      </c>
      <c r="AO14" s="18">
        <v>1</v>
      </c>
      <c r="AP14" s="18">
        <v>1</v>
      </c>
      <c r="AQ14" s="18"/>
      <c r="AR14" s="18"/>
      <c r="AS14" s="18"/>
      <c r="AT14" s="18"/>
      <c r="AU14" s="18"/>
      <c r="AV14" s="18"/>
      <c r="AW14" s="18"/>
      <c r="AX14" s="18"/>
      <c r="AY14" s="8">
        <v>0.47770000000000001</v>
      </c>
      <c r="AZ14" s="8">
        <v>9.9999999999999995E-8</v>
      </c>
      <c r="BB14" s="173"/>
    </row>
    <row r="15" spans="1:54">
      <c r="A15" s="173" t="s">
        <v>26</v>
      </c>
      <c r="B15" s="29" t="s">
        <v>190</v>
      </c>
      <c r="C15" s="29" t="s">
        <v>51</v>
      </c>
      <c r="D15" s="29"/>
      <c r="E15" s="29" t="s">
        <v>52</v>
      </c>
      <c r="F15" s="173" t="s">
        <v>34</v>
      </c>
      <c r="G15" s="173"/>
      <c r="H15" s="173"/>
      <c r="I15" s="173" t="s">
        <v>30</v>
      </c>
      <c r="J15" s="173">
        <v>19.07</v>
      </c>
      <c r="K15" s="173"/>
      <c r="L15" s="173">
        <v>339</v>
      </c>
      <c r="M15" s="173">
        <v>287</v>
      </c>
      <c r="N15" s="173"/>
      <c r="O15" s="173"/>
      <c r="P15" s="173">
        <v>5</v>
      </c>
      <c r="Q15" s="173" t="s">
        <v>1103</v>
      </c>
      <c r="R15" s="173"/>
      <c r="S15" s="173"/>
      <c r="T15" s="173"/>
      <c r="U15" s="173"/>
      <c r="V15" s="173"/>
      <c r="W15" s="173"/>
      <c r="X15" s="173"/>
      <c r="Y15" s="173"/>
      <c r="Z15" s="173"/>
      <c r="AA15" s="173"/>
      <c r="AB15" s="173"/>
      <c r="AC15" s="173"/>
      <c r="AD15" s="173"/>
      <c r="AE15" s="173"/>
      <c r="AF15" s="18"/>
      <c r="AG15" s="18"/>
      <c r="AH15" s="18"/>
      <c r="AI15" s="18"/>
      <c r="AJ15" s="18"/>
      <c r="AK15" s="18"/>
      <c r="AL15" s="18"/>
      <c r="AM15" s="18"/>
      <c r="AN15" s="18">
        <v>1</v>
      </c>
      <c r="AO15" s="18">
        <v>1</v>
      </c>
      <c r="AP15" s="18">
        <v>1</v>
      </c>
      <c r="AQ15" s="18"/>
      <c r="AR15" s="18"/>
      <c r="AS15" s="18"/>
      <c r="AT15" s="18"/>
      <c r="AU15" s="18"/>
      <c r="AV15" s="18"/>
      <c r="AW15" s="18"/>
      <c r="AX15" s="18"/>
      <c r="AY15" s="8">
        <v>0.47770000000000001</v>
      </c>
      <c r="AZ15" s="8">
        <v>9.9999999999999995E-8</v>
      </c>
      <c r="BB15" s="173"/>
    </row>
    <row r="16" spans="1:54">
      <c r="A16" s="39" t="s">
        <v>26</v>
      </c>
      <c r="B16" s="28" t="s">
        <v>564</v>
      </c>
      <c r="C16" s="28" t="s">
        <v>53</v>
      </c>
      <c r="D16" s="28"/>
      <c r="E16" s="28" t="s">
        <v>52</v>
      </c>
      <c r="F16" s="39" t="s">
        <v>34</v>
      </c>
      <c r="G16" s="39"/>
      <c r="H16" s="39"/>
      <c r="I16" s="39" t="s">
        <v>38</v>
      </c>
      <c r="J16" s="39">
        <v>36.86</v>
      </c>
      <c r="K16" s="39"/>
      <c r="L16" s="39">
        <v>712</v>
      </c>
      <c r="M16" s="39">
        <v>472</v>
      </c>
      <c r="N16" s="39"/>
      <c r="O16" s="39"/>
      <c r="P16" s="39">
        <v>5</v>
      </c>
      <c r="Q16" s="173" t="s">
        <v>1103</v>
      </c>
      <c r="R16" s="39"/>
      <c r="S16" s="39"/>
      <c r="T16" s="39"/>
      <c r="U16" s="39"/>
      <c r="V16" s="39"/>
      <c r="W16" s="39"/>
      <c r="X16" s="39"/>
      <c r="Y16" s="39"/>
      <c r="Z16" s="39"/>
      <c r="AA16" s="39"/>
      <c r="AB16" s="39"/>
      <c r="AC16" s="39"/>
      <c r="AD16" s="39"/>
      <c r="AE16" s="39"/>
      <c r="AF16" s="10"/>
      <c r="AG16" s="10"/>
      <c r="AH16" s="10"/>
      <c r="AI16" s="10"/>
      <c r="AJ16" s="10"/>
      <c r="AK16" s="10"/>
      <c r="AL16" s="10"/>
      <c r="AM16" s="10"/>
      <c r="AN16" s="10">
        <v>1</v>
      </c>
      <c r="AO16" s="10">
        <v>1</v>
      </c>
      <c r="AP16" s="10">
        <v>1</v>
      </c>
      <c r="AQ16" s="10"/>
      <c r="AR16" s="10"/>
      <c r="AS16" s="10"/>
      <c r="AT16" s="10"/>
      <c r="AU16" s="10"/>
      <c r="AV16" s="10"/>
      <c r="AW16" s="10"/>
      <c r="AX16" s="10"/>
      <c r="AY16" s="8">
        <v>0.47770000000000001</v>
      </c>
      <c r="AZ16" s="8">
        <v>9.9999999999999995E-8</v>
      </c>
      <c r="BB16" s="39"/>
    </row>
    <row r="17" spans="1:82">
      <c r="A17" s="40" t="s">
        <v>64</v>
      </c>
      <c r="B17" s="40" t="s">
        <v>191</v>
      </c>
      <c r="C17" s="40" t="s">
        <v>54</v>
      </c>
      <c r="D17" s="40"/>
      <c r="E17" s="40" t="s">
        <v>52</v>
      </c>
      <c r="F17" s="40" t="s">
        <v>500</v>
      </c>
      <c r="G17" s="40" t="s">
        <v>501</v>
      </c>
      <c r="H17" s="40"/>
      <c r="I17" s="40" t="s">
        <v>123</v>
      </c>
      <c r="J17" s="40">
        <v>6.88</v>
      </c>
      <c r="K17" s="40"/>
      <c r="L17" s="40">
        <v>714</v>
      </c>
      <c r="M17" s="40">
        <v>480</v>
      </c>
      <c r="N17" s="40"/>
      <c r="O17" s="40"/>
      <c r="P17" s="40">
        <v>5</v>
      </c>
      <c r="Q17" s="173" t="s">
        <v>1103</v>
      </c>
      <c r="R17" s="40"/>
      <c r="S17" s="40"/>
      <c r="T17" s="40"/>
      <c r="U17" s="40"/>
      <c r="V17" s="40"/>
      <c r="W17" s="40"/>
      <c r="X17" s="40">
        <v>1</v>
      </c>
      <c r="Y17" s="40"/>
      <c r="Z17" s="40"/>
      <c r="AA17" s="40"/>
      <c r="AB17" s="40"/>
      <c r="AC17" s="40"/>
      <c r="AD17" s="40">
        <v>1</v>
      </c>
      <c r="AE17" s="40">
        <v>1</v>
      </c>
      <c r="AF17" s="9">
        <v>396.87799999999999</v>
      </c>
      <c r="AG17" s="9">
        <v>170</v>
      </c>
      <c r="AH17" s="9"/>
      <c r="AI17" s="9"/>
      <c r="AJ17" s="9"/>
      <c r="AK17" s="9"/>
      <c r="AL17" s="9"/>
      <c r="AM17" s="9"/>
      <c r="AN17" s="9">
        <v>1</v>
      </c>
      <c r="AO17" s="9">
        <v>1</v>
      </c>
      <c r="AP17" s="9">
        <v>1</v>
      </c>
      <c r="AQ17" s="9"/>
      <c r="AR17" s="9"/>
      <c r="AS17" s="9"/>
      <c r="AT17" s="9"/>
      <c r="AU17" s="9"/>
      <c r="AV17" s="9"/>
      <c r="AW17" s="9"/>
      <c r="AX17" s="9"/>
      <c r="AY17" s="8">
        <v>0.47770000000000001</v>
      </c>
      <c r="AZ17" s="8">
        <v>9.9999999999999995E-8</v>
      </c>
      <c r="BB17" s="40" t="s">
        <v>125</v>
      </c>
    </row>
    <row r="18" spans="1:82">
      <c r="A18" s="39" t="s">
        <v>26</v>
      </c>
      <c r="B18" s="26" t="s">
        <v>520</v>
      </c>
      <c r="C18" s="26" t="s">
        <v>55</v>
      </c>
      <c r="D18" s="26"/>
      <c r="E18" s="26" t="s">
        <v>56</v>
      </c>
      <c r="F18" s="39" t="s">
        <v>500</v>
      </c>
      <c r="G18" s="39"/>
      <c r="H18" s="39"/>
      <c r="I18" s="39" t="s">
        <v>38</v>
      </c>
      <c r="J18" s="39">
        <v>6.45</v>
      </c>
      <c r="K18" s="39"/>
      <c r="L18" s="39">
        <v>702</v>
      </c>
      <c r="M18" s="39">
        <v>518</v>
      </c>
      <c r="N18" s="39"/>
      <c r="O18" s="39"/>
      <c r="P18" s="39">
        <v>5</v>
      </c>
      <c r="Q18" s="173" t="s">
        <v>1103</v>
      </c>
      <c r="R18" s="39"/>
      <c r="S18" s="39"/>
      <c r="T18" s="39"/>
      <c r="U18" s="39"/>
      <c r="V18" s="39"/>
      <c r="W18" s="39"/>
      <c r="X18" s="39"/>
      <c r="Y18" s="39"/>
      <c r="Z18" s="39"/>
      <c r="AA18" s="39">
        <v>1</v>
      </c>
      <c r="AB18" s="39"/>
      <c r="AC18" s="39"/>
      <c r="AD18" s="39">
        <v>1</v>
      </c>
      <c r="AE18" s="39">
        <v>1</v>
      </c>
      <c r="AF18" s="10">
        <v>388.37799999999999</v>
      </c>
      <c r="AG18" s="10">
        <v>161.5</v>
      </c>
      <c r="AH18" s="10"/>
      <c r="AI18" s="10"/>
      <c r="AJ18" s="10"/>
      <c r="AK18" s="10"/>
      <c r="AL18" s="10"/>
      <c r="AM18" s="10"/>
      <c r="AN18" s="10">
        <v>1</v>
      </c>
      <c r="AO18" s="10">
        <v>1</v>
      </c>
      <c r="AP18" s="10">
        <v>1</v>
      </c>
      <c r="AQ18" s="10"/>
      <c r="AR18" s="10"/>
      <c r="AS18" s="10">
        <v>3687665</v>
      </c>
      <c r="AT18" s="10">
        <v>4</v>
      </c>
      <c r="AU18" s="10"/>
      <c r="AV18" s="10"/>
      <c r="AW18" s="10"/>
      <c r="AX18" s="10"/>
      <c r="AY18" s="8">
        <v>0.47770000000000001</v>
      </c>
      <c r="AZ18" s="8">
        <v>9.9999999999999995E-8</v>
      </c>
      <c r="BB18" s="39" t="s">
        <v>57</v>
      </c>
    </row>
    <row r="19" spans="1:82">
      <c r="A19" s="173" t="s">
        <v>26</v>
      </c>
      <c r="B19" s="29" t="s">
        <v>192</v>
      </c>
      <c r="C19" s="29" t="s">
        <v>58</v>
      </c>
      <c r="D19" s="29"/>
      <c r="E19" s="29" t="s">
        <v>129</v>
      </c>
      <c r="F19" s="173" t="s">
        <v>500</v>
      </c>
      <c r="G19" s="173"/>
      <c r="H19" s="173"/>
      <c r="I19" s="173" t="s">
        <v>30</v>
      </c>
      <c r="J19" s="173">
        <v>18.66</v>
      </c>
      <c r="K19" s="173"/>
      <c r="L19" s="173">
        <v>347</v>
      </c>
      <c r="M19" s="173">
        <v>296</v>
      </c>
      <c r="N19" s="173"/>
      <c r="O19" s="173"/>
      <c r="P19" s="173">
        <v>5</v>
      </c>
      <c r="Q19" s="173" t="s">
        <v>1103</v>
      </c>
      <c r="R19" s="173"/>
      <c r="S19" s="173"/>
      <c r="T19" s="173"/>
      <c r="U19" s="173"/>
      <c r="V19" s="173"/>
      <c r="W19" s="173"/>
      <c r="X19" s="173"/>
      <c r="Y19" s="173"/>
      <c r="Z19" s="173"/>
      <c r="AA19" s="173"/>
      <c r="AB19" s="173"/>
      <c r="AC19" s="173"/>
      <c r="AD19" s="173"/>
      <c r="AE19" s="173"/>
      <c r="AF19" s="18"/>
      <c r="AG19" s="18"/>
      <c r="AH19" s="18"/>
      <c r="AI19" s="18"/>
      <c r="AJ19" s="18"/>
      <c r="AK19" s="18"/>
      <c r="AL19" s="18"/>
      <c r="AM19" s="18"/>
      <c r="AN19" s="18">
        <v>1</v>
      </c>
      <c r="AO19" s="18">
        <v>1</v>
      </c>
      <c r="AP19" s="18">
        <v>1</v>
      </c>
      <c r="AQ19" s="18"/>
      <c r="AR19" s="18"/>
      <c r="AS19" s="18"/>
      <c r="AT19" s="18"/>
      <c r="AU19" s="18"/>
      <c r="AV19" s="18"/>
      <c r="AW19" s="18"/>
      <c r="AX19" s="18"/>
      <c r="AY19" s="8">
        <v>0.47770000000000001</v>
      </c>
      <c r="AZ19" s="8">
        <v>9.9999999999999995E-8</v>
      </c>
      <c r="BB19" s="173" t="s">
        <v>59</v>
      </c>
    </row>
    <row r="20" spans="1:82">
      <c r="A20" s="173" t="s">
        <v>26</v>
      </c>
      <c r="B20" s="30" t="s">
        <v>1110</v>
      </c>
      <c r="C20" s="30" t="s">
        <v>60</v>
      </c>
      <c r="D20" s="30"/>
      <c r="E20" s="30" t="s">
        <v>61</v>
      </c>
      <c r="F20" s="173" t="s">
        <v>34</v>
      </c>
      <c r="G20" s="173"/>
      <c r="H20" s="173"/>
      <c r="I20" s="173" t="s">
        <v>30</v>
      </c>
      <c r="J20" s="173">
        <v>19.02</v>
      </c>
      <c r="K20" s="173"/>
      <c r="L20" s="173">
        <v>371</v>
      </c>
      <c r="M20" s="173">
        <v>282</v>
      </c>
      <c r="N20" s="173"/>
      <c r="O20" s="173"/>
      <c r="P20" s="173">
        <v>5</v>
      </c>
      <c r="Q20" s="173" t="s">
        <v>1103</v>
      </c>
      <c r="R20" s="173"/>
      <c r="S20" s="173"/>
      <c r="T20" s="173"/>
      <c r="U20" s="173"/>
      <c r="V20" s="173"/>
      <c r="W20" s="173"/>
      <c r="X20" s="173"/>
      <c r="Y20" s="173"/>
      <c r="Z20" s="173"/>
      <c r="AA20" s="173"/>
      <c r="AB20" s="173"/>
      <c r="AC20" s="173"/>
      <c r="AD20" s="173"/>
      <c r="AE20" s="173"/>
      <c r="AF20" s="18">
        <v>190.4</v>
      </c>
      <c r="AG20" s="18"/>
      <c r="AH20" s="18"/>
      <c r="AI20" s="18"/>
      <c r="AJ20" s="18"/>
      <c r="AK20" s="18"/>
      <c r="AL20" s="18"/>
      <c r="AM20" s="18"/>
      <c r="AN20" s="18">
        <v>1</v>
      </c>
      <c r="AO20" s="18">
        <v>1</v>
      </c>
      <c r="AP20" s="18">
        <v>1</v>
      </c>
      <c r="AQ20" s="18"/>
      <c r="AR20" s="18"/>
      <c r="AS20" s="18"/>
      <c r="AT20" s="18"/>
      <c r="AU20" s="18"/>
      <c r="AV20" s="18"/>
      <c r="AW20" s="18"/>
      <c r="AX20" s="18"/>
      <c r="AY20" s="8">
        <v>0.47770000000000001</v>
      </c>
      <c r="AZ20" s="8">
        <v>9.9999999999999995E-8</v>
      </c>
      <c r="BB20" s="173"/>
    </row>
    <row r="21" spans="1:82">
      <c r="A21" s="41" t="s">
        <v>64</v>
      </c>
      <c r="B21" s="41" t="s">
        <v>194</v>
      </c>
      <c r="C21" s="41" t="s">
        <v>62</v>
      </c>
      <c r="D21" s="41"/>
      <c r="E21" s="41" t="s">
        <v>63</v>
      </c>
      <c r="F21" s="40" t="s">
        <v>34</v>
      </c>
      <c r="G21" s="40"/>
      <c r="H21" s="41"/>
      <c r="I21" s="41" t="s">
        <v>30</v>
      </c>
      <c r="J21" s="41">
        <v>19.07</v>
      </c>
      <c r="K21" s="41"/>
      <c r="L21" s="41">
        <v>362</v>
      </c>
      <c r="M21" s="41">
        <v>289</v>
      </c>
      <c r="N21" s="41"/>
      <c r="O21" s="41"/>
      <c r="P21" s="40">
        <v>5</v>
      </c>
      <c r="Q21" s="173" t="s">
        <v>1103</v>
      </c>
      <c r="R21" s="41"/>
      <c r="S21" s="41"/>
      <c r="T21" s="41"/>
      <c r="U21" s="41"/>
      <c r="V21" s="41"/>
      <c r="W21" s="41"/>
      <c r="X21" s="41"/>
      <c r="Y21" s="41"/>
      <c r="Z21" s="41"/>
      <c r="AA21" s="41"/>
      <c r="AB21" s="41"/>
      <c r="AC21" s="41"/>
      <c r="AD21" s="41"/>
      <c r="AE21" s="41"/>
      <c r="AF21" s="20"/>
      <c r="AG21" s="20"/>
      <c r="AH21" s="20"/>
      <c r="AI21" s="9"/>
      <c r="AJ21" s="20"/>
      <c r="AK21" s="20"/>
      <c r="AL21" s="20"/>
      <c r="AM21" s="20"/>
      <c r="AN21" s="20">
        <v>1</v>
      </c>
      <c r="AO21" s="20">
        <v>1</v>
      </c>
      <c r="AP21" s="20">
        <v>1</v>
      </c>
      <c r="AQ21" s="20"/>
      <c r="AR21" s="20"/>
      <c r="AS21" s="9"/>
      <c r="AT21" s="20"/>
      <c r="AU21" s="20"/>
      <c r="AV21" s="20"/>
      <c r="AW21" s="20"/>
      <c r="AX21" s="20"/>
      <c r="AY21" s="8">
        <v>0.47770000000000001</v>
      </c>
      <c r="AZ21" s="8">
        <v>9.9999999999999995E-8</v>
      </c>
      <c r="BB21" s="41"/>
    </row>
    <row r="22" spans="1:82">
      <c r="A22" s="173" t="s">
        <v>26</v>
      </c>
      <c r="B22" s="31" t="s">
        <v>196</v>
      </c>
      <c r="C22" s="31" t="s">
        <v>67</v>
      </c>
      <c r="D22" s="31"/>
      <c r="E22" s="31" t="s">
        <v>68</v>
      </c>
      <c r="F22" s="173" t="s">
        <v>34</v>
      </c>
      <c r="G22" s="173"/>
      <c r="H22" s="173"/>
      <c r="I22" s="173" t="s">
        <v>30</v>
      </c>
      <c r="J22" s="173">
        <v>19.61</v>
      </c>
      <c r="K22" s="173"/>
      <c r="L22" s="173">
        <v>331</v>
      </c>
      <c r="M22" s="173">
        <v>321</v>
      </c>
      <c r="N22" s="173"/>
      <c r="O22" s="173"/>
      <c r="P22" s="173">
        <v>5</v>
      </c>
      <c r="Q22" s="173" t="s">
        <v>1103</v>
      </c>
      <c r="R22" s="173"/>
      <c r="S22" s="173"/>
      <c r="T22" s="173"/>
      <c r="U22" s="173"/>
      <c r="V22" s="173"/>
      <c r="W22" s="173"/>
      <c r="X22" s="173"/>
      <c r="Y22" s="173"/>
      <c r="Z22" s="173"/>
      <c r="AA22" s="173"/>
      <c r="AB22" s="173"/>
      <c r="AC22" s="173"/>
      <c r="AD22" s="173"/>
      <c r="AE22" s="173"/>
      <c r="AF22" s="18"/>
      <c r="AG22" s="18"/>
      <c r="AH22" s="18"/>
      <c r="AI22" s="18"/>
      <c r="AJ22" s="18"/>
      <c r="AK22" s="18"/>
      <c r="AL22" s="18"/>
      <c r="AM22" s="18"/>
      <c r="AN22" s="18">
        <v>1</v>
      </c>
      <c r="AO22" s="18">
        <v>1</v>
      </c>
      <c r="AP22" s="18">
        <v>1</v>
      </c>
      <c r="AQ22" s="18"/>
      <c r="AR22" s="18"/>
      <c r="AS22" s="18"/>
      <c r="AT22" s="18"/>
      <c r="AU22" s="18"/>
      <c r="AV22" s="18"/>
      <c r="AW22" s="18"/>
      <c r="AX22" s="18"/>
      <c r="AY22" s="8">
        <v>0.47770000000000001</v>
      </c>
      <c r="AZ22" s="8">
        <v>9.9999999999999995E-8</v>
      </c>
      <c r="BB22" s="173"/>
    </row>
    <row r="23" spans="1:82">
      <c r="A23" s="40" t="s">
        <v>64</v>
      </c>
      <c r="B23" s="34" t="s">
        <v>197</v>
      </c>
      <c r="C23" s="34" t="s">
        <v>69</v>
      </c>
      <c r="D23" s="34"/>
      <c r="E23" s="34" t="s">
        <v>70</v>
      </c>
      <c r="F23" s="40" t="s">
        <v>34</v>
      </c>
      <c r="G23" s="40"/>
      <c r="H23" s="40"/>
      <c r="I23" s="40" t="s">
        <v>30</v>
      </c>
      <c r="J23" s="40">
        <v>18.420000000000002</v>
      </c>
      <c r="K23" s="40"/>
      <c r="L23" s="40">
        <v>359</v>
      </c>
      <c r="M23" s="40">
        <v>293</v>
      </c>
      <c r="N23" s="40"/>
      <c r="O23" s="40"/>
      <c r="P23" s="40">
        <v>5</v>
      </c>
      <c r="Q23" s="173" t="s">
        <v>1103</v>
      </c>
      <c r="R23" s="40"/>
      <c r="S23" s="40"/>
      <c r="T23" s="40"/>
      <c r="U23" s="40"/>
      <c r="V23" s="40"/>
      <c r="W23" s="40"/>
      <c r="X23" s="40"/>
      <c r="Y23" s="40"/>
      <c r="Z23" s="40"/>
      <c r="AA23" s="40"/>
      <c r="AB23" s="40"/>
      <c r="AC23" s="40"/>
      <c r="AD23" s="40"/>
      <c r="AE23" s="40"/>
      <c r="AF23" s="9"/>
      <c r="AG23" s="9"/>
      <c r="AH23" s="9"/>
      <c r="AI23" s="9"/>
      <c r="AJ23" s="9"/>
      <c r="AK23" s="9"/>
      <c r="AL23" s="9"/>
      <c r="AM23" s="9"/>
      <c r="AN23" s="9">
        <v>1</v>
      </c>
      <c r="AO23" s="9">
        <v>1</v>
      </c>
      <c r="AP23" s="9">
        <v>1</v>
      </c>
      <c r="AQ23" s="9"/>
      <c r="AR23" s="9"/>
      <c r="AS23" s="9"/>
      <c r="AT23" s="9"/>
      <c r="AU23" s="9"/>
      <c r="AV23" s="9"/>
      <c r="AW23" s="9"/>
      <c r="AX23" s="9"/>
      <c r="AY23" s="8">
        <v>0.47770000000000001</v>
      </c>
      <c r="AZ23" s="8">
        <v>9.9999999999999995E-8</v>
      </c>
      <c r="BB23" s="40" t="s">
        <v>393</v>
      </c>
    </row>
    <row r="24" spans="1:82">
      <c r="A24" s="40" t="s">
        <v>64</v>
      </c>
      <c r="B24" s="34" t="s">
        <v>772</v>
      </c>
      <c r="C24" s="34" t="s">
        <v>71</v>
      </c>
      <c r="D24" s="34"/>
      <c r="E24" s="34" t="s">
        <v>72</v>
      </c>
      <c r="F24" s="40" t="s">
        <v>500</v>
      </c>
      <c r="G24" s="40"/>
      <c r="H24" s="40"/>
      <c r="I24" s="40" t="s">
        <v>30</v>
      </c>
      <c r="J24" s="40">
        <v>8.6959999999999997</v>
      </c>
      <c r="K24" s="40"/>
      <c r="L24" s="40">
        <v>368</v>
      </c>
      <c r="M24" s="40">
        <v>335</v>
      </c>
      <c r="N24" s="40"/>
      <c r="O24" s="40"/>
      <c r="P24" s="40">
        <v>5</v>
      </c>
      <c r="Q24" s="173" t="s">
        <v>1103</v>
      </c>
      <c r="R24" s="40"/>
      <c r="S24" s="40"/>
      <c r="T24" s="40"/>
      <c r="U24" s="40"/>
      <c r="V24" s="40"/>
      <c r="W24" s="40"/>
      <c r="X24" s="40"/>
      <c r="Y24" s="40"/>
      <c r="Z24" s="40"/>
      <c r="AA24" s="40"/>
      <c r="AB24" s="40"/>
      <c r="AC24" s="40"/>
      <c r="AD24" s="40">
        <v>1</v>
      </c>
      <c r="AE24" s="40"/>
      <c r="AF24" s="9"/>
      <c r="AG24" s="9"/>
      <c r="AH24" s="9"/>
      <c r="AI24" s="9"/>
      <c r="AJ24" s="9"/>
      <c r="AK24" s="9"/>
      <c r="AL24" s="9"/>
      <c r="AM24" s="9"/>
      <c r="AN24" s="9">
        <v>1</v>
      </c>
      <c r="AO24" s="9">
        <v>1</v>
      </c>
      <c r="AP24" s="9">
        <v>1</v>
      </c>
      <c r="AQ24" s="9"/>
      <c r="AR24" s="9"/>
      <c r="AS24" s="9"/>
      <c r="AT24" s="9"/>
      <c r="AU24" s="9"/>
      <c r="AV24" s="9"/>
      <c r="AW24" s="9"/>
      <c r="AX24" s="9"/>
      <c r="AY24" s="8">
        <v>0.47770000000000001</v>
      </c>
      <c r="AZ24" s="8">
        <v>9.9999999999999995E-8</v>
      </c>
      <c r="BB24" s="40"/>
    </row>
    <row r="25" spans="1:82">
      <c r="A25" s="173" t="s">
        <v>26</v>
      </c>
      <c r="B25" s="29" t="s">
        <v>659</v>
      </c>
      <c r="C25" s="29" t="s">
        <v>73</v>
      </c>
      <c r="D25" s="29"/>
      <c r="E25" s="29" t="s">
        <v>74</v>
      </c>
      <c r="F25" s="173" t="s">
        <v>501</v>
      </c>
      <c r="G25" s="173"/>
      <c r="H25" s="173"/>
      <c r="I25" s="173" t="s">
        <v>30</v>
      </c>
      <c r="J25" s="173">
        <v>10</v>
      </c>
      <c r="K25" s="173"/>
      <c r="L25" s="173">
        <v>315</v>
      </c>
      <c r="M25" s="173">
        <v>318</v>
      </c>
      <c r="N25" s="173"/>
      <c r="O25" s="173"/>
      <c r="P25" s="173">
        <v>5</v>
      </c>
      <c r="Q25" s="173" t="s">
        <v>1103</v>
      </c>
      <c r="R25" s="173"/>
      <c r="S25" s="173"/>
      <c r="T25" s="173"/>
      <c r="U25" s="173"/>
      <c r="V25" s="173"/>
      <c r="W25" s="173"/>
      <c r="X25" s="173"/>
      <c r="Y25" s="173"/>
      <c r="Z25" s="173"/>
      <c r="AA25" s="173"/>
      <c r="AB25" s="173"/>
      <c r="AC25" s="173"/>
      <c r="AD25" s="173">
        <v>1</v>
      </c>
      <c r="AE25" s="173"/>
      <c r="AF25" s="18"/>
      <c r="AG25" s="18"/>
      <c r="AH25" s="18"/>
      <c r="AI25" s="18"/>
      <c r="AJ25" s="18"/>
      <c r="AK25" s="18"/>
      <c r="AL25" s="18"/>
      <c r="AM25" s="18"/>
      <c r="AN25" s="18">
        <v>1</v>
      </c>
      <c r="AO25" s="18">
        <v>1</v>
      </c>
      <c r="AP25" s="18">
        <v>1</v>
      </c>
      <c r="AQ25" s="18"/>
      <c r="AR25" s="18"/>
      <c r="AS25" s="18">
        <v>3687600</v>
      </c>
      <c r="AT25" s="18"/>
      <c r="AU25" s="18"/>
      <c r="AV25" s="18"/>
      <c r="AW25" s="18"/>
      <c r="AX25" s="18"/>
      <c r="AY25" s="8">
        <v>0.47770000000000001</v>
      </c>
      <c r="AZ25" s="8">
        <v>9.9999999999999995E-8</v>
      </c>
      <c r="BB25" s="173"/>
    </row>
    <row r="26" spans="1:82">
      <c r="A26" s="40" t="s">
        <v>64</v>
      </c>
      <c r="B26" s="34" t="s">
        <v>200</v>
      </c>
      <c r="C26" s="34" t="s">
        <v>75</v>
      </c>
      <c r="D26" s="34"/>
      <c r="E26" s="34" t="s">
        <v>76</v>
      </c>
      <c r="F26" s="40" t="s">
        <v>501</v>
      </c>
      <c r="G26" s="40"/>
      <c r="H26" s="40"/>
      <c r="I26" s="40" t="s">
        <v>30</v>
      </c>
      <c r="J26" s="40">
        <v>9.5239999999999991</v>
      </c>
      <c r="K26" s="40"/>
      <c r="L26" s="40">
        <v>416</v>
      </c>
      <c r="M26" s="40">
        <v>311</v>
      </c>
      <c r="N26" s="40"/>
      <c r="O26" s="40"/>
      <c r="P26" s="40">
        <v>5</v>
      </c>
      <c r="Q26" s="173" t="s">
        <v>1103</v>
      </c>
      <c r="R26" s="40"/>
      <c r="S26" s="40"/>
      <c r="T26" s="40"/>
      <c r="U26" s="40"/>
      <c r="V26" s="40"/>
      <c r="W26" s="40"/>
      <c r="X26" s="40"/>
      <c r="Y26" s="40"/>
      <c r="Z26" s="40"/>
      <c r="AA26" s="40"/>
      <c r="AB26" s="40"/>
      <c r="AC26" s="40"/>
      <c r="AD26" s="40">
        <v>1</v>
      </c>
      <c r="AE26" s="40"/>
      <c r="AF26" s="9"/>
      <c r="AG26" s="9"/>
      <c r="AH26" s="9"/>
      <c r="AI26" s="9"/>
      <c r="AJ26" s="9"/>
      <c r="AK26" s="9"/>
      <c r="AL26" s="9"/>
      <c r="AM26" s="9"/>
      <c r="AN26" s="9">
        <v>1</v>
      </c>
      <c r="AO26" s="9">
        <v>1</v>
      </c>
      <c r="AP26" s="9">
        <v>1</v>
      </c>
      <c r="AQ26" s="9"/>
      <c r="AR26" s="9"/>
      <c r="AS26" s="9"/>
      <c r="AT26" s="9"/>
      <c r="AU26" s="9"/>
      <c r="AV26" s="9"/>
      <c r="AW26" s="9"/>
      <c r="AX26" s="9"/>
      <c r="AY26" s="8">
        <v>0.47770000000000001</v>
      </c>
      <c r="AZ26" s="8">
        <v>9.9999999999999995E-8</v>
      </c>
      <c r="BB26" s="40"/>
    </row>
    <row r="27" spans="1:82">
      <c r="A27" s="39" t="s">
        <v>26</v>
      </c>
      <c r="B27" s="27" t="s">
        <v>814</v>
      </c>
      <c r="C27" s="27" t="s">
        <v>162</v>
      </c>
      <c r="D27" s="27"/>
      <c r="E27" s="27" t="s">
        <v>547</v>
      </c>
      <c r="F27" s="39" t="s">
        <v>501</v>
      </c>
      <c r="G27" s="39" t="s">
        <v>77</v>
      </c>
      <c r="H27" s="39">
        <v>1</v>
      </c>
      <c r="I27" s="39" t="s">
        <v>38</v>
      </c>
      <c r="J27" s="39">
        <v>1.76</v>
      </c>
      <c r="K27" s="39"/>
      <c r="L27" s="39">
        <v>658</v>
      </c>
      <c r="M27" s="39">
        <v>537</v>
      </c>
      <c r="N27" s="39"/>
      <c r="O27" s="39"/>
      <c r="P27" s="39">
        <v>1</v>
      </c>
      <c r="Q27" s="173" t="s">
        <v>1103</v>
      </c>
      <c r="R27" s="173" t="s">
        <v>1381</v>
      </c>
      <c r="S27" s="173"/>
      <c r="T27" s="173"/>
      <c r="U27" s="174" t="s">
        <v>1382</v>
      </c>
      <c r="V27" s="173" t="s">
        <v>1383</v>
      </c>
      <c r="W27" s="39"/>
      <c r="X27" s="39"/>
      <c r="Y27" s="39"/>
      <c r="Z27" s="39"/>
      <c r="AA27" s="39">
        <v>1</v>
      </c>
      <c r="AB27" s="39"/>
      <c r="AC27" s="39"/>
      <c r="AD27" s="39">
        <v>1</v>
      </c>
      <c r="AE27" s="39"/>
      <c r="AF27" s="10">
        <v>18.8</v>
      </c>
      <c r="AG27" s="10"/>
      <c r="AH27" s="10"/>
      <c r="AI27" s="18" t="s">
        <v>1377</v>
      </c>
      <c r="AJ27" s="18" t="s">
        <v>1378</v>
      </c>
      <c r="AK27" s="18"/>
      <c r="AL27" s="173" t="s">
        <v>1379</v>
      </c>
      <c r="AM27" s="173" t="s">
        <v>1380</v>
      </c>
      <c r="AN27" s="10">
        <v>1</v>
      </c>
      <c r="AO27" s="10">
        <v>1</v>
      </c>
      <c r="AP27" s="10"/>
      <c r="AQ27" s="10"/>
      <c r="AR27" s="10"/>
      <c r="AS27" s="10">
        <v>3687631</v>
      </c>
      <c r="AT27" s="10">
        <v>3</v>
      </c>
      <c r="AU27" s="10"/>
      <c r="AV27" s="10"/>
      <c r="AW27" s="10"/>
      <c r="AX27" s="10"/>
      <c r="AY27" s="8">
        <v>0.47770000000000001</v>
      </c>
      <c r="AZ27" s="8">
        <v>9.9999999999999995E-8</v>
      </c>
      <c r="BB27" s="39" t="s">
        <v>820</v>
      </c>
    </row>
    <row r="28" spans="1:82">
      <c r="A28" s="44" t="s">
        <v>26</v>
      </c>
      <c r="B28" s="31" t="s">
        <v>580</v>
      </c>
      <c r="C28" s="31" t="s">
        <v>78</v>
      </c>
      <c r="D28" s="31"/>
      <c r="E28" s="31" t="s">
        <v>547</v>
      </c>
      <c r="F28" s="173" t="s">
        <v>501</v>
      </c>
      <c r="G28" s="44"/>
      <c r="H28" s="44">
        <v>1</v>
      </c>
      <c r="I28" s="44" t="s">
        <v>30</v>
      </c>
      <c r="J28" s="44">
        <v>9.16</v>
      </c>
      <c r="K28" s="44"/>
      <c r="L28" s="44">
        <v>356</v>
      </c>
      <c r="M28" s="44">
        <v>310</v>
      </c>
      <c r="N28" s="44">
        <v>1</v>
      </c>
      <c r="O28" s="44"/>
      <c r="P28" s="173">
        <v>5</v>
      </c>
      <c r="Q28" s="173" t="s">
        <v>1103</v>
      </c>
      <c r="R28" s="44"/>
      <c r="S28" s="44"/>
      <c r="T28" s="44"/>
      <c r="U28" s="44"/>
      <c r="V28" s="44"/>
      <c r="W28" s="44"/>
      <c r="X28" s="44"/>
      <c r="Y28" s="44"/>
      <c r="Z28" s="44"/>
      <c r="AA28" s="44">
        <v>1</v>
      </c>
      <c r="AB28" s="44"/>
      <c r="AC28" s="44"/>
      <c r="AD28" s="44">
        <v>1</v>
      </c>
      <c r="AE28" s="44"/>
      <c r="AF28" s="17">
        <v>15.2</v>
      </c>
      <c r="AG28" s="17"/>
      <c r="AH28" s="17"/>
      <c r="AI28" s="18"/>
      <c r="AJ28" s="17"/>
      <c r="AK28" s="17"/>
      <c r="AL28" s="17"/>
      <c r="AM28" s="17"/>
      <c r="AN28" s="17">
        <v>1</v>
      </c>
      <c r="AO28" s="17">
        <v>1</v>
      </c>
      <c r="AP28" s="17">
        <v>1</v>
      </c>
      <c r="AQ28" s="17"/>
      <c r="AR28" s="17">
        <v>1</v>
      </c>
      <c r="AS28" s="18">
        <v>3688000</v>
      </c>
      <c r="AT28" s="17"/>
      <c r="AU28" s="17"/>
      <c r="AV28" s="17"/>
      <c r="AW28" s="17"/>
      <c r="AX28" s="17"/>
      <c r="AY28" s="8">
        <v>0.47770000000000001</v>
      </c>
      <c r="AZ28" s="8">
        <v>9.9999999999999995E-8</v>
      </c>
      <c r="BB28" s="44"/>
      <c r="BC28" s="12"/>
      <c r="BD28" s="12"/>
      <c r="BE28" s="12"/>
      <c r="BF28" s="12"/>
      <c r="BG28" s="12"/>
      <c r="BH28" s="12"/>
      <c r="BI28" s="12"/>
      <c r="BJ28" s="12"/>
      <c r="BK28" s="12"/>
      <c r="BL28" s="12"/>
      <c r="BM28" s="12"/>
      <c r="BN28" s="12"/>
      <c r="BO28" s="12"/>
      <c r="BP28" s="12"/>
      <c r="BQ28" s="12"/>
      <c r="BR28" s="12"/>
      <c r="BS28" s="12"/>
      <c r="BT28" s="12"/>
      <c r="BU28" s="12"/>
      <c r="BV28" s="12"/>
      <c r="BW28" s="12"/>
      <c r="BX28" s="12"/>
      <c r="BY28" s="12"/>
      <c r="BZ28" s="12"/>
      <c r="CA28" s="12"/>
      <c r="CB28" s="12"/>
      <c r="CC28" s="12"/>
      <c r="CD28" s="12"/>
    </row>
    <row r="29" spans="1:82">
      <c r="A29" s="173" t="s">
        <v>26</v>
      </c>
      <c r="B29" s="29" t="s">
        <v>203</v>
      </c>
      <c r="C29" s="29" t="s">
        <v>79</v>
      </c>
      <c r="D29" s="29"/>
      <c r="E29" s="29" t="s">
        <v>284</v>
      </c>
      <c r="F29" s="173" t="s">
        <v>255</v>
      </c>
      <c r="G29" s="173" t="s">
        <v>501</v>
      </c>
      <c r="H29" s="173">
        <v>1</v>
      </c>
      <c r="I29" s="173" t="s">
        <v>810</v>
      </c>
      <c r="J29" s="173">
        <v>10.43</v>
      </c>
      <c r="K29" s="173">
        <v>10.49</v>
      </c>
      <c r="L29" s="173">
        <v>912</v>
      </c>
      <c r="M29" s="173">
        <v>561</v>
      </c>
      <c r="N29" s="173">
        <v>1</v>
      </c>
      <c r="O29" s="173"/>
      <c r="P29" s="173">
        <v>5</v>
      </c>
      <c r="Q29" s="173" t="s">
        <v>1103</v>
      </c>
      <c r="R29" s="173"/>
      <c r="S29" s="173"/>
      <c r="T29" s="173"/>
      <c r="U29" s="173"/>
      <c r="V29" s="173"/>
      <c r="W29" s="173"/>
      <c r="X29" s="173"/>
      <c r="Y29" s="173"/>
      <c r="Z29" s="173"/>
      <c r="AA29" s="173"/>
      <c r="AB29" s="173"/>
      <c r="AC29" s="173"/>
      <c r="AD29" s="173">
        <v>1</v>
      </c>
      <c r="AE29" s="173"/>
      <c r="AF29" s="18">
        <v>11.7</v>
      </c>
      <c r="AG29" s="18"/>
      <c r="AH29" s="18"/>
      <c r="AI29" s="18"/>
      <c r="AJ29" s="18"/>
      <c r="AK29" s="18"/>
      <c r="AL29" s="18"/>
      <c r="AM29" s="18"/>
      <c r="AN29" s="18">
        <v>1</v>
      </c>
      <c r="AO29" s="18">
        <v>1</v>
      </c>
      <c r="AP29" s="18">
        <v>1</v>
      </c>
      <c r="AQ29" s="18"/>
      <c r="AR29" s="18"/>
      <c r="AS29" s="18">
        <v>3687850</v>
      </c>
      <c r="AT29" s="18"/>
      <c r="AU29" s="18"/>
      <c r="AV29" s="18"/>
      <c r="AW29" s="18"/>
      <c r="AX29" s="18"/>
      <c r="AY29" s="8">
        <v>0.47770000000000001</v>
      </c>
      <c r="AZ29" s="8">
        <v>9.9999999999999995E-8</v>
      </c>
      <c r="BB29" s="173"/>
    </row>
    <row r="30" spans="1:82">
      <c r="A30" s="173" t="s">
        <v>26</v>
      </c>
      <c r="B30" s="29" t="s">
        <v>204</v>
      </c>
      <c r="C30" s="29" t="s">
        <v>177</v>
      </c>
      <c r="D30" s="29"/>
      <c r="E30" s="29" t="s">
        <v>284</v>
      </c>
      <c r="F30" s="40" t="s">
        <v>500</v>
      </c>
      <c r="G30" s="173"/>
      <c r="H30" s="173"/>
      <c r="I30" s="173" t="s">
        <v>810</v>
      </c>
      <c r="J30" s="173">
        <v>9.2200000000000006</v>
      </c>
      <c r="K30" s="173">
        <v>8.17</v>
      </c>
      <c r="L30" s="173">
        <v>876.5</v>
      </c>
      <c r="M30" s="173">
        <v>623</v>
      </c>
      <c r="N30" s="173">
        <v>1</v>
      </c>
      <c r="O30" s="173"/>
      <c r="P30" s="173">
        <v>5</v>
      </c>
      <c r="Q30" s="173" t="s">
        <v>1103</v>
      </c>
      <c r="R30" s="173"/>
      <c r="S30" s="173"/>
      <c r="T30" s="173"/>
      <c r="U30" s="173"/>
      <c r="V30" s="173"/>
      <c r="W30" s="173"/>
      <c r="X30" s="173"/>
      <c r="Y30" s="173"/>
      <c r="Z30" s="173"/>
      <c r="AA30" s="173"/>
      <c r="AB30" s="173"/>
      <c r="AC30" s="173"/>
      <c r="AD30" s="173">
        <v>1</v>
      </c>
      <c r="AE30" s="173"/>
      <c r="AF30" s="18"/>
      <c r="AG30" s="18"/>
      <c r="AH30" s="18"/>
      <c r="AI30" s="18"/>
      <c r="AJ30" s="18"/>
      <c r="AK30" s="18"/>
      <c r="AL30" s="18"/>
      <c r="AM30" s="18"/>
      <c r="AN30" s="18">
        <v>1</v>
      </c>
      <c r="AO30" s="18">
        <v>1</v>
      </c>
      <c r="AP30" s="18">
        <v>1</v>
      </c>
      <c r="AQ30" s="18"/>
      <c r="AR30" s="18"/>
      <c r="AS30" s="18">
        <v>3687500</v>
      </c>
      <c r="AT30" s="18"/>
      <c r="AU30" s="18"/>
      <c r="AV30" s="18"/>
      <c r="AW30" s="18"/>
      <c r="AX30" s="18"/>
      <c r="AY30" s="8">
        <v>0.47770000000000001</v>
      </c>
      <c r="AZ30" s="8">
        <v>9.9999999999999995E-8</v>
      </c>
      <c r="BB30" s="173" t="s">
        <v>533</v>
      </c>
    </row>
    <row r="31" spans="1:82">
      <c r="A31" s="173" t="s">
        <v>26</v>
      </c>
      <c r="B31" s="31" t="s">
        <v>859</v>
      </c>
      <c r="C31" s="31" t="s">
        <v>860</v>
      </c>
      <c r="D31" s="40"/>
      <c r="E31" s="29" t="s">
        <v>284</v>
      </c>
      <c r="F31" s="40" t="s">
        <v>501</v>
      </c>
      <c r="G31" s="40"/>
      <c r="H31" s="40"/>
      <c r="I31" s="173" t="s">
        <v>810</v>
      </c>
      <c r="J31" s="40">
        <v>6</v>
      </c>
      <c r="K31" s="40"/>
      <c r="L31" s="40">
        <v>974</v>
      </c>
      <c r="M31" s="40">
        <v>558</v>
      </c>
      <c r="N31" s="40"/>
      <c r="O31" s="40"/>
      <c r="P31" s="40">
        <v>5</v>
      </c>
      <c r="Q31" s="173" t="s">
        <v>1103</v>
      </c>
      <c r="R31" s="40"/>
      <c r="S31" s="40"/>
      <c r="T31" s="40"/>
      <c r="U31" s="40"/>
      <c r="V31" s="40"/>
      <c r="W31" s="40"/>
      <c r="X31" s="40"/>
      <c r="Y31" s="40"/>
      <c r="Z31" s="40"/>
      <c r="AA31" s="40"/>
      <c r="AB31" s="40"/>
      <c r="AC31" s="40"/>
      <c r="AD31" s="40">
        <v>1</v>
      </c>
      <c r="AE31" s="40"/>
      <c r="AF31" s="9">
        <v>11.8</v>
      </c>
      <c r="AG31" s="9"/>
      <c r="AH31" s="9"/>
      <c r="AI31" s="9"/>
      <c r="AJ31" s="9"/>
      <c r="AK31" s="9"/>
      <c r="AL31" s="9"/>
      <c r="AM31" s="9"/>
      <c r="AN31" s="9">
        <v>1</v>
      </c>
      <c r="AO31" s="9">
        <v>1</v>
      </c>
      <c r="AP31" s="9">
        <v>1</v>
      </c>
      <c r="AQ31" s="9"/>
      <c r="AR31" s="9"/>
      <c r="AS31" s="18"/>
      <c r="AT31" s="9"/>
      <c r="AU31" s="9"/>
      <c r="AV31" s="9"/>
      <c r="AW31" s="9"/>
      <c r="AX31" s="9"/>
      <c r="AY31" s="8">
        <v>0.47770000000000001</v>
      </c>
      <c r="AZ31" s="8">
        <v>9.9999999999999995E-8</v>
      </c>
      <c r="BB31" s="40"/>
    </row>
    <row r="32" spans="1:82">
      <c r="A32" s="40" t="s">
        <v>126</v>
      </c>
      <c r="B32" s="142" t="s">
        <v>210</v>
      </c>
      <c r="C32" s="120" t="s">
        <v>176</v>
      </c>
      <c r="D32" s="120"/>
      <c r="E32" s="34" t="s">
        <v>276</v>
      </c>
      <c r="F32" s="40" t="s">
        <v>500</v>
      </c>
      <c r="G32" s="40" t="s">
        <v>501</v>
      </c>
      <c r="H32" s="121">
        <v>2</v>
      </c>
      <c r="I32" s="121" t="s">
        <v>30</v>
      </c>
      <c r="J32" s="121">
        <v>9.4700000000000006</v>
      </c>
      <c r="K32" s="121"/>
      <c r="L32" s="121">
        <v>399</v>
      </c>
      <c r="M32" s="121">
        <v>266</v>
      </c>
      <c r="N32" s="121"/>
      <c r="O32" s="121"/>
      <c r="P32" s="40">
        <v>5</v>
      </c>
      <c r="Q32" s="173" t="s">
        <v>1103</v>
      </c>
      <c r="R32" s="121"/>
      <c r="S32" s="121"/>
      <c r="T32" s="121"/>
      <c r="U32" s="121"/>
      <c r="V32" s="121"/>
      <c r="W32" s="121"/>
      <c r="X32" s="121"/>
      <c r="Y32" s="121"/>
      <c r="Z32" s="121"/>
      <c r="AA32" s="121"/>
      <c r="AB32" s="121"/>
      <c r="AC32" s="121"/>
      <c r="AD32" s="121">
        <v>1</v>
      </c>
      <c r="AE32" s="121"/>
      <c r="AF32" s="122"/>
      <c r="AG32" s="122"/>
      <c r="AH32" s="122"/>
      <c r="AI32" s="9"/>
      <c r="AJ32" s="122"/>
      <c r="AK32" s="122"/>
      <c r="AL32" s="122"/>
      <c r="AM32" s="122"/>
      <c r="AN32" s="122">
        <v>1</v>
      </c>
      <c r="AO32" s="122">
        <v>1</v>
      </c>
      <c r="AP32" s="122">
        <v>1</v>
      </c>
      <c r="AQ32" s="122"/>
      <c r="AR32" s="122"/>
      <c r="AS32" s="9"/>
      <c r="AT32" s="122"/>
      <c r="AU32" s="122"/>
      <c r="AV32" s="122"/>
      <c r="AW32" s="122"/>
      <c r="AX32" s="122"/>
      <c r="AY32" s="8">
        <v>0.47770000000000001</v>
      </c>
      <c r="AZ32" s="8">
        <v>9.9999999999999995E-8</v>
      </c>
      <c r="BB32" s="121"/>
      <c r="BC32" s="12"/>
      <c r="BD32" s="12"/>
      <c r="BE32" s="12"/>
      <c r="BF32" s="12"/>
      <c r="BG32" s="12"/>
      <c r="BH32" s="12"/>
      <c r="BI32" s="12"/>
      <c r="BJ32" s="12"/>
      <c r="BK32" s="12"/>
      <c r="BL32" s="12"/>
      <c r="BM32" s="12"/>
      <c r="BN32" s="12"/>
      <c r="BO32" s="12"/>
      <c r="BP32" s="12"/>
      <c r="BQ32" s="12"/>
      <c r="BR32" s="12"/>
      <c r="BS32" s="12"/>
      <c r="BT32" s="12"/>
      <c r="BU32" s="12"/>
      <c r="BV32" s="12"/>
      <c r="BW32" s="12"/>
      <c r="BX32" s="12"/>
    </row>
    <row r="33" spans="1:76">
      <c r="A33" s="44" t="s">
        <v>26</v>
      </c>
      <c r="B33" s="35" t="s">
        <v>723</v>
      </c>
      <c r="C33" s="31" t="s">
        <v>730</v>
      </c>
      <c r="D33" s="31"/>
      <c r="E33" s="29" t="s">
        <v>276</v>
      </c>
      <c r="F33" s="173" t="s">
        <v>141</v>
      </c>
      <c r="G33" s="173"/>
      <c r="H33" s="44"/>
      <c r="I33" s="44" t="s">
        <v>30</v>
      </c>
      <c r="J33" s="44">
        <v>7.59</v>
      </c>
      <c r="K33" s="44"/>
      <c r="L33" s="44">
        <v>404</v>
      </c>
      <c r="M33" s="44">
        <v>248</v>
      </c>
      <c r="N33" s="44"/>
      <c r="O33" s="44"/>
      <c r="P33" s="173">
        <v>5</v>
      </c>
      <c r="Q33" s="173" t="s">
        <v>1103</v>
      </c>
      <c r="R33" s="44"/>
      <c r="S33" s="44"/>
      <c r="T33" s="44"/>
      <c r="U33" s="44"/>
      <c r="V33" s="44"/>
      <c r="W33" s="44"/>
      <c r="X33" s="44"/>
      <c r="Y33" s="44"/>
      <c r="Z33" s="44"/>
      <c r="AA33" s="44"/>
      <c r="AB33" s="44"/>
      <c r="AC33" s="44"/>
      <c r="AD33" s="44">
        <v>1</v>
      </c>
      <c r="AE33" s="44"/>
      <c r="AF33" s="17">
        <v>135.1</v>
      </c>
      <c r="AG33" s="17"/>
      <c r="AH33" s="17"/>
      <c r="AI33" s="18"/>
      <c r="AJ33" s="17"/>
      <c r="AK33" s="17"/>
      <c r="AL33" s="17"/>
      <c r="AM33" s="17"/>
      <c r="AN33" s="17">
        <v>1</v>
      </c>
      <c r="AO33" s="17">
        <v>1</v>
      </c>
      <c r="AP33" s="17">
        <v>1</v>
      </c>
      <c r="AQ33" s="17"/>
      <c r="AR33" s="17"/>
      <c r="AS33" s="18">
        <v>3687665</v>
      </c>
      <c r="AT33" s="17">
        <v>3</v>
      </c>
      <c r="AU33" s="17"/>
      <c r="AV33" s="17"/>
      <c r="AW33" s="17"/>
      <c r="AX33" s="17"/>
      <c r="AY33" s="8">
        <v>0.47770000000000001</v>
      </c>
      <c r="AZ33" s="8">
        <v>9.9999999999999995E-8</v>
      </c>
      <c r="BB33" s="44"/>
      <c r="BC33" s="12"/>
      <c r="BD33" s="12"/>
      <c r="BE33" s="12"/>
      <c r="BF33" s="12"/>
      <c r="BG33" s="12"/>
      <c r="BH33" s="12"/>
      <c r="BI33" s="12"/>
      <c r="BJ33" s="12"/>
      <c r="BK33" s="12"/>
      <c r="BL33" s="12"/>
      <c r="BM33" s="12"/>
      <c r="BN33" s="12"/>
      <c r="BO33" s="12"/>
      <c r="BP33" s="12"/>
      <c r="BQ33" s="12"/>
      <c r="BR33" s="12"/>
      <c r="BS33" s="12"/>
      <c r="BT33" s="12"/>
      <c r="BU33" s="12"/>
      <c r="BV33" s="12"/>
      <c r="BW33" s="12"/>
      <c r="BX33" s="12"/>
    </row>
    <row r="34" spans="1:76">
      <c r="A34" s="39" t="s">
        <v>26</v>
      </c>
      <c r="B34" s="36" t="s">
        <v>299</v>
      </c>
      <c r="C34" s="27" t="s">
        <v>272</v>
      </c>
      <c r="D34" s="27" t="s">
        <v>244</v>
      </c>
      <c r="E34" s="27" t="s">
        <v>277</v>
      </c>
      <c r="F34" s="39" t="s">
        <v>77</v>
      </c>
      <c r="G34" s="39" t="s">
        <v>501</v>
      </c>
      <c r="H34" s="39">
        <v>2</v>
      </c>
      <c r="I34" s="39" t="s">
        <v>38</v>
      </c>
      <c r="J34" s="39">
        <v>1.68</v>
      </c>
      <c r="K34" s="39"/>
      <c r="L34" s="39">
        <v>675</v>
      </c>
      <c r="M34" s="39">
        <v>535</v>
      </c>
      <c r="N34" s="39"/>
      <c r="O34" s="39"/>
      <c r="P34" s="39">
        <v>5</v>
      </c>
      <c r="Q34" s="173" t="s">
        <v>1103</v>
      </c>
      <c r="R34" s="39"/>
      <c r="S34" s="39"/>
      <c r="T34" s="39"/>
      <c r="U34" s="39"/>
      <c r="V34" s="39"/>
      <c r="W34" s="39"/>
      <c r="X34" s="39"/>
      <c r="Y34" s="39"/>
      <c r="Z34" s="39"/>
      <c r="AA34" s="39"/>
      <c r="AB34" s="39"/>
      <c r="AC34" s="39"/>
      <c r="AD34" s="39">
        <v>1</v>
      </c>
      <c r="AE34" s="39"/>
      <c r="AF34" s="10">
        <v>112.5</v>
      </c>
      <c r="AG34" s="10"/>
      <c r="AH34" s="10">
        <v>-9.5660000000000007</v>
      </c>
      <c r="AI34" s="10"/>
      <c r="AJ34" s="10"/>
      <c r="AK34" s="10"/>
      <c r="AL34" s="10"/>
      <c r="AM34" s="10"/>
      <c r="AN34" s="10">
        <v>1</v>
      </c>
      <c r="AO34" s="10">
        <v>1</v>
      </c>
      <c r="AP34" s="10">
        <v>1</v>
      </c>
      <c r="AQ34" s="10">
        <v>1</v>
      </c>
      <c r="AR34" s="10"/>
      <c r="AS34" s="10">
        <v>3687600</v>
      </c>
      <c r="AT34" s="10"/>
      <c r="AU34" s="10"/>
      <c r="AV34" s="10"/>
      <c r="AW34" s="10"/>
      <c r="AX34" s="10"/>
      <c r="AY34" s="8">
        <v>0.47770000000000001</v>
      </c>
      <c r="AZ34" s="8">
        <v>9.9999999999999995E-8</v>
      </c>
      <c r="BB34" s="39"/>
    </row>
    <row r="35" spans="1:76">
      <c r="A35" s="39" t="s">
        <v>26</v>
      </c>
      <c r="B35" s="36" t="s">
        <v>300</v>
      </c>
      <c r="C35" s="27" t="s">
        <v>273</v>
      </c>
      <c r="D35" s="27" t="s">
        <v>245</v>
      </c>
      <c r="E35" s="27" t="s">
        <v>278</v>
      </c>
      <c r="F35" s="39" t="s">
        <v>77</v>
      </c>
      <c r="G35" s="39" t="s">
        <v>501</v>
      </c>
      <c r="H35" s="39">
        <v>2</v>
      </c>
      <c r="I35" s="39" t="s">
        <v>38</v>
      </c>
      <c r="J35" s="39">
        <v>1.81</v>
      </c>
      <c r="K35" s="39"/>
      <c r="L35" s="39">
        <v>694</v>
      </c>
      <c r="M35" s="39">
        <v>562</v>
      </c>
      <c r="N35" s="39"/>
      <c r="O35" s="39"/>
      <c r="P35" s="39">
        <v>5</v>
      </c>
      <c r="Q35" s="173" t="s">
        <v>1103</v>
      </c>
      <c r="R35" s="39"/>
      <c r="S35" s="39"/>
      <c r="T35" s="39"/>
      <c r="U35" s="39"/>
      <c r="V35" s="39"/>
      <c r="W35" s="39"/>
      <c r="X35" s="39"/>
      <c r="Y35" s="39"/>
      <c r="Z35" s="39"/>
      <c r="AA35" s="39"/>
      <c r="AB35" s="39"/>
      <c r="AC35" s="39"/>
      <c r="AD35" s="39">
        <v>1</v>
      </c>
      <c r="AE35" s="39"/>
      <c r="AF35" s="10">
        <v>92.5</v>
      </c>
      <c r="AG35" s="10"/>
      <c r="AH35" s="10">
        <v>-5.3529999999999998</v>
      </c>
      <c r="AI35" s="10"/>
      <c r="AJ35" s="10"/>
      <c r="AK35" s="10"/>
      <c r="AL35" s="10"/>
      <c r="AM35" s="10"/>
      <c r="AN35" s="10">
        <v>1</v>
      </c>
      <c r="AO35" s="10">
        <v>1</v>
      </c>
      <c r="AP35" s="10">
        <v>1</v>
      </c>
      <c r="AQ35" s="10">
        <v>1</v>
      </c>
      <c r="AR35" s="10"/>
      <c r="AS35" s="10">
        <v>3687605</v>
      </c>
      <c r="AT35" s="10"/>
      <c r="AU35" s="10"/>
      <c r="AV35" s="10"/>
      <c r="AW35" s="10"/>
      <c r="AX35" s="10"/>
      <c r="AY35" s="8">
        <v>0.47770000000000001</v>
      </c>
      <c r="AZ35" s="8">
        <v>9.9999999999999995E-8</v>
      </c>
      <c r="BB35" s="39"/>
    </row>
    <row r="36" spans="1:76">
      <c r="A36" s="39" t="s">
        <v>26</v>
      </c>
      <c r="B36" s="36" t="s">
        <v>301</v>
      </c>
      <c r="C36" s="27" t="s">
        <v>274</v>
      </c>
      <c r="D36" s="27" t="s">
        <v>246</v>
      </c>
      <c r="E36" s="27" t="s">
        <v>279</v>
      </c>
      <c r="F36" s="39" t="s">
        <v>77</v>
      </c>
      <c r="G36" s="39" t="s">
        <v>501</v>
      </c>
      <c r="H36" s="39">
        <v>2</v>
      </c>
      <c r="I36" s="39" t="s">
        <v>38</v>
      </c>
      <c r="J36" s="39">
        <v>2.1</v>
      </c>
      <c r="K36" s="39"/>
      <c r="L36" s="39">
        <v>675</v>
      </c>
      <c r="M36" s="39">
        <v>537</v>
      </c>
      <c r="N36" s="39"/>
      <c r="O36" s="39"/>
      <c r="P36" s="39">
        <v>5</v>
      </c>
      <c r="Q36" s="173" t="s">
        <v>1103</v>
      </c>
      <c r="R36" s="39"/>
      <c r="S36" s="39"/>
      <c r="T36" s="39"/>
      <c r="U36" s="39"/>
      <c r="V36" s="39"/>
      <c r="W36" s="39"/>
      <c r="X36" s="39"/>
      <c r="Y36" s="39"/>
      <c r="Z36" s="39"/>
      <c r="AA36" s="39"/>
      <c r="AB36" s="39"/>
      <c r="AC36" s="39"/>
      <c r="AD36" s="39">
        <v>1</v>
      </c>
      <c r="AE36" s="39"/>
      <c r="AF36" s="10">
        <v>28</v>
      </c>
      <c r="AG36" s="10"/>
      <c r="AH36" s="10">
        <v>-7.1130000000000004</v>
      </c>
      <c r="AI36" s="10"/>
      <c r="AJ36" s="10"/>
      <c r="AK36" s="10"/>
      <c r="AL36" s="10"/>
      <c r="AM36" s="10"/>
      <c r="AN36" s="10">
        <v>1</v>
      </c>
      <c r="AO36" s="10">
        <v>1</v>
      </c>
      <c r="AP36" s="10">
        <v>1</v>
      </c>
      <c r="AQ36" s="10">
        <v>1</v>
      </c>
      <c r="AR36" s="10"/>
      <c r="AS36" s="10">
        <v>3687585</v>
      </c>
      <c r="AT36" s="10"/>
      <c r="AU36" s="10"/>
      <c r="AV36" s="10"/>
      <c r="AW36" s="10"/>
      <c r="AX36" s="10"/>
      <c r="AY36" s="8">
        <v>0.47770000000000001</v>
      </c>
      <c r="AZ36" s="8">
        <v>9.9999999999999995E-8</v>
      </c>
      <c r="BB36" s="39"/>
    </row>
    <row r="37" spans="1:76">
      <c r="A37" s="39" t="s">
        <v>26</v>
      </c>
      <c r="B37" s="36" t="s">
        <v>302</v>
      </c>
      <c r="C37" s="27" t="s">
        <v>275</v>
      </c>
      <c r="D37" s="27" t="s">
        <v>247</v>
      </c>
      <c r="E37" s="27" t="s">
        <v>280</v>
      </c>
      <c r="F37" s="39" t="s">
        <v>77</v>
      </c>
      <c r="G37" s="39" t="s">
        <v>501</v>
      </c>
      <c r="H37" s="39">
        <v>2</v>
      </c>
      <c r="I37" s="39" t="s">
        <v>38</v>
      </c>
      <c r="J37" s="39">
        <v>2.2400000000000002</v>
      </c>
      <c r="K37" s="39"/>
      <c r="L37" s="39">
        <v>655</v>
      </c>
      <c r="M37" s="39">
        <v>525</v>
      </c>
      <c r="N37" s="39"/>
      <c r="O37" s="39"/>
      <c r="P37" s="39">
        <v>5</v>
      </c>
      <c r="Q37" s="173" t="s">
        <v>1103</v>
      </c>
      <c r="R37" s="39"/>
      <c r="S37" s="39"/>
      <c r="T37" s="39"/>
      <c r="U37" s="39"/>
      <c r="V37" s="39"/>
      <c r="W37" s="39"/>
      <c r="X37" s="39"/>
      <c r="Y37" s="39"/>
      <c r="Z37" s="39"/>
      <c r="AA37" s="39"/>
      <c r="AB37" s="39"/>
      <c r="AC37" s="39"/>
      <c r="AD37" s="39">
        <v>1</v>
      </c>
      <c r="AE37" s="39"/>
      <c r="AF37" s="10">
        <v>125</v>
      </c>
      <c r="AG37" s="10"/>
      <c r="AH37" s="10">
        <v>-5.5039999999999996</v>
      </c>
      <c r="AI37" s="10"/>
      <c r="AJ37" s="10"/>
      <c r="AK37" s="10"/>
      <c r="AL37" s="10"/>
      <c r="AM37" s="10"/>
      <c r="AN37" s="10">
        <v>1</v>
      </c>
      <c r="AO37" s="10">
        <v>1</v>
      </c>
      <c r="AP37" s="10">
        <v>1</v>
      </c>
      <c r="AQ37" s="10">
        <v>1</v>
      </c>
      <c r="AR37" s="10"/>
      <c r="AS37" s="10">
        <v>3687580</v>
      </c>
      <c r="AT37" s="10"/>
      <c r="AU37" s="10"/>
      <c r="AV37" s="10"/>
      <c r="AW37" s="10"/>
      <c r="AX37" s="10"/>
      <c r="AY37" s="8">
        <v>0.47770000000000001</v>
      </c>
      <c r="AZ37" s="8">
        <v>9.9999999999999995E-8</v>
      </c>
      <c r="BB37" s="39"/>
    </row>
    <row r="38" spans="1:76">
      <c r="A38" s="173" t="s">
        <v>26</v>
      </c>
      <c r="B38" s="37" t="s">
        <v>855</v>
      </c>
      <c r="C38" s="29" t="s">
        <v>293</v>
      </c>
      <c r="D38" s="29"/>
      <c r="E38" s="29" t="s">
        <v>281</v>
      </c>
      <c r="F38" s="173" t="s">
        <v>77</v>
      </c>
      <c r="G38" s="173" t="s">
        <v>501</v>
      </c>
      <c r="H38" s="173">
        <v>2</v>
      </c>
      <c r="I38" s="173" t="s">
        <v>810</v>
      </c>
      <c r="J38" s="173">
        <v>10.01</v>
      </c>
      <c r="K38" s="173">
        <v>9.3800000000000008</v>
      </c>
      <c r="L38" s="173">
        <v>1146</v>
      </c>
      <c r="M38" s="173">
        <v>632</v>
      </c>
      <c r="N38" s="173"/>
      <c r="O38" s="173"/>
      <c r="P38" s="173">
        <v>5</v>
      </c>
      <c r="Q38" s="173" t="s">
        <v>1103</v>
      </c>
      <c r="R38" s="173"/>
      <c r="S38" s="173"/>
      <c r="T38" s="173"/>
      <c r="U38" s="173"/>
      <c r="V38" s="173"/>
      <c r="W38" s="173"/>
      <c r="X38" s="173"/>
      <c r="Y38" s="173"/>
      <c r="Z38" s="173"/>
      <c r="AA38" s="173"/>
      <c r="AB38" s="173"/>
      <c r="AC38" s="173"/>
      <c r="AD38" s="173">
        <v>1</v>
      </c>
      <c r="AE38" s="173"/>
      <c r="AF38" s="18"/>
      <c r="AG38" s="18"/>
      <c r="AH38" s="18"/>
      <c r="AI38" s="18"/>
      <c r="AJ38" s="18"/>
      <c r="AK38" s="18"/>
      <c r="AL38" s="18"/>
      <c r="AM38" s="18"/>
      <c r="AN38" s="18">
        <v>1</v>
      </c>
      <c r="AO38" s="18">
        <v>1</v>
      </c>
      <c r="AP38" s="18">
        <v>1</v>
      </c>
      <c r="AQ38" s="18"/>
      <c r="AR38" s="18"/>
      <c r="AS38" s="18">
        <v>3687660</v>
      </c>
      <c r="AT38" s="18"/>
      <c r="AU38" s="18"/>
      <c r="AV38" s="18"/>
      <c r="AW38" s="18"/>
      <c r="AX38" s="18"/>
      <c r="AY38" s="8">
        <v>0.47770000000000001</v>
      </c>
      <c r="AZ38" s="8">
        <v>9.9999999999999995E-8</v>
      </c>
      <c r="BB38" s="173"/>
    </row>
    <row r="39" spans="1:76">
      <c r="A39" s="173" t="s">
        <v>26</v>
      </c>
      <c r="B39" s="37" t="s">
        <v>289</v>
      </c>
      <c r="C39" s="29" t="s">
        <v>294</v>
      </c>
      <c r="D39" s="29"/>
      <c r="E39" s="29" t="s">
        <v>281</v>
      </c>
      <c r="F39" s="173" t="s">
        <v>1047</v>
      </c>
      <c r="G39" s="173"/>
      <c r="H39" s="173"/>
      <c r="I39" s="44" t="s">
        <v>30</v>
      </c>
      <c r="J39" s="173">
        <v>197</v>
      </c>
      <c r="K39" s="173"/>
      <c r="L39" s="173">
        <v>432</v>
      </c>
      <c r="M39" s="173">
        <v>280</v>
      </c>
      <c r="N39" s="173"/>
      <c r="O39" s="173"/>
      <c r="P39" s="173">
        <v>5</v>
      </c>
      <c r="Q39" s="173" t="s">
        <v>1103</v>
      </c>
      <c r="R39" s="173"/>
      <c r="S39" s="173"/>
      <c r="T39" s="173"/>
      <c r="U39" s="173"/>
      <c r="V39" s="173"/>
      <c r="W39" s="173"/>
      <c r="X39" s="173"/>
      <c r="Y39" s="173"/>
      <c r="Z39" s="173"/>
      <c r="AA39" s="173"/>
      <c r="AB39" s="173"/>
      <c r="AC39" s="173"/>
      <c r="AD39" s="173"/>
      <c r="AE39" s="173"/>
      <c r="AF39" s="18"/>
      <c r="AG39" s="18"/>
      <c r="AH39" s="18"/>
      <c r="AI39" s="18"/>
      <c r="AJ39" s="18"/>
      <c r="AK39" s="18"/>
      <c r="AL39" s="18"/>
      <c r="AM39" s="18"/>
      <c r="AN39" s="18">
        <v>1</v>
      </c>
      <c r="AO39" s="18">
        <v>1</v>
      </c>
      <c r="AP39" s="18">
        <v>1</v>
      </c>
      <c r="AQ39" s="18"/>
      <c r="AR39" s="18"/>
      <c r="AS39" s="18"/>
      <c r="AT39" s="18"/>
      <c r="AU39" s="18"/>
      <c r="AV39" s="18"/>
      <c r="AW39" s="18"/>
      <c r="AX39" s="18"/>
      <c r="AY39" s="8">
        <v>0.47770000000000001</v>
      </c>
      <c r="AZ39" s="8">
        <v>9.9999999999999995E-8</v>
      </c>
      <c r="BB39" s="173"/>
    </row>
    <row r="40" spans="1:76" ht="12.5">
      <c r="A40" s="42" t="s">
        <v>26</v>
      </c>
      <c r="B40" s="38" t="s">
        <v>290</v>
      </c>
      <c r="C40" s="28" t="s">
        <v>295</v>
      </c>
      <c r="D40" s="28"/>
      <c r="E40" s="28" t="s">
        <v>281</v>
      </c>
      <c r="F40" s="42" t="s">
        <v>29</v>
      </c>
      <c r="G40" s="42"/>
      <c r="H40" s="42"/>
      <c r="I40" s="42" t="s">
        <v>38</v>
      </c>
      <c r="J40" s="127">
        <v>146</v>
      </c>
      <c r="K40" s="127"/>
      <c r="L40" s="42">
        <v>356</v>
      </c>
      <c r="M40" s="42">
        <v>310</v>
      </c>
      <c r="N40" s="42"/>
      <c r="O40" s="42"/>
      <c r="P40" s="42">
        <v>5</v>
      </c>
      <c r="Q40" s="173" t="s">
        <v>1103</v>
      </c>
      <c r="R40" s="42"/>
      <c r="S40" s="42"/>
      <c r="T40" s="42"/>
      <c r="U40" s="42"/>
      <c r="V40" s="42"/>
      <c r="W40" s="42"/>
      <c r="X40" s="42"/>
      <c r="Y40" s="42"/>
      <c r="Z40" s="42"/>
      <c r="AA40" s="42"/>
      <c r="AB40" s="42"/>
      <c r="AC40" s="42"/>
      <c r="AD40" s="42"/>
      <c r="AE40" s="42"/>
      <c r="AF40" s="15"/>
      <c r="AG40" s="15"/>
      <c r="AH40" s="15"/>
      <c r="AI40" s="10"/>
      <c r="AJ40" s="15"/>
      <c r="AK40" s="15"/>
      <c r="AL40" s="15"/>
      <c r="AM40" s="15"/>
      <c r="AN40" s="15">
        <v>1</v>
      </c>
      <c r="AO40" s="15">
        <v>1</v>
      </c>
      <c r="AP40" s="15">
        <v>1</v>
      </c>
      <c r="AQ40" s="15"/>
      <c r="AR40" s="15"/>
      <c r="AS40" s="10"/>
      <c r="AT40" s="15"/>
      <c r="AU40" s="15"/>
      <c r="AV40" s="15"/>
      <c r="AW40" s="15"/>
      <c r="AX40" s="15"/>
      <c r="AY40" s="8">
        <v>0.47770000000000001</v>
      </c>
      <c r="AZ40" s="8">
        <v>9.9999999999999995E-8</v>
      </c>
      <c r="BB40" s="42"/>
      <c r="BC40" s="11"/>
      <c r="BD40" s="11"/>
      <c r="BE40" s="11"/>
      <c r="BF40" s="11"/>
      <c r="BG40" s="11"/>
      <c r="BH40" s="11"/>
      <c r="BI40" s="11"/>
      <c r="BJ40" s="11"/>
      <c r="BK40" s="11"/>
      <c r="BL40" s="11"/>
      <c r="BM40" s="11"/>
      <c r="BN40" s="11"/>
      <c r="BO40" s="11"/>
      <c r="BP40" s="11"/>
      <c r="BQ40" s="11"/>
      <c r="BR40" s="11"/>
      <c r="BS40" s="11"/>
      <c r="BT40" s="11"/>
      <c r="BU40" s="11"/>
      <c r="BV40" s="11"/>
      <c r="BW40" s="11"/>
      <c r="BX40" s="11"/>
    </row>
    <row r="41" spans="1:76">
      <c r="A41" s="39" t="s">
        <v>26</v>
      </c>
      <c r="B41" s="27" t="s">
        <v>211</v>
      </c>
      <c r="C41" s="27" t="s">
        <v>88</v>
      </c>
      <c r="D41" s="27"/>
      <c r="E41" s="27" t="s">
        <v>89</v>
      </c>
      <c r="F41" s="39" t="s">
        <v>500</v>
      </c>
      <c r="G41" s="39"/>
      <c r="H41" s="39"/>
      <c r="I41" s="39" t="s">
        <v>38</v>
      </c>
      <c r="J41" s="39">
        <v>6.07</v>
      </c>
      <c r="K41" s="39"/>
      <c r="L41" s="39">
        <v>656</v>
      </c>
      <c r="M41" s="39">
        <v>513</v>
      </c>
      <c r="N41" s="39"/>
      <c r="O41" s="39"/>
      <c r="P41" s="39">
        <v>5</v>
      </c>
      <c r="Q41" s="173" t="s">
        <v>1103</v>
      </c>
      <c r="R41" s="39"/>
      <c r="S41" s="39"/>
      <c r="T41" s="39"/>
      <c r="U41" s="39"/>
      <c r="V41" s="39"/>
      <c r="W41" s="39"/>
      <c r="X41" s="39"/>
      <c r="Y41" s="39"/>
      <c r="Z41" s="39"/>
      <c r="AA41" s="39"/>
      <c r="AB41" s="39"/>
      <c r="AC41" s="39"/>
      <c r="AD41" s="39"/>
      <c r="AE41" s="39"/>
      <c r="AF41" s="10"/>
      <c r="AG41" s="10"/>
      <c r="AH41" s="10"/>
      <c r="AI41" s="10"/>
      <c r="AJ41" s="10"/>
      <c r="AK41" s="10"/>
      <c r="AL41" s="10"/>
      <c r="AM41" s="10"/>
      <c r="AN41" s="10">
        <v>1</v>
      </c>
      <c r="AO41" s="10">
        <v>1</v>
      </c>
      <c r="AP41" s="10">
        <v>1</v>
      </c>
      <c r="AQ41" s="10"/>
      <c r="AR41" s="10">
        <v>1</v>
      </c>
      <c r="AS41" s="10">
        <v>3687460</v>
      </c>
      <c r="AT41" s="10"/>
      <c r="AU41" s="10"/>
      <c r="AV41" s="10"/>
      <c r="AW41" s="10"/>
      <c r="AX41" s="10"/>
      <c r="AY41" s="8">
        <v>0.47770000000000001</v>
      </c>
      <c r="AZ41" s="8">
        <v>9.9999999999999995E-8</v>
      </c>
      <c r="BB41" s="39"/>
    </row>
    <row r="42" spans="1:76">
      <c r="A42" s="173" t="s">
        <v>26</v>
      </c>
      <c r="B42" s="29" t="s">
        <v>212</v>
      </c>
      <c r="C42" s="29" t="s">
        <v>90</v>
      </c>
      <c r="D42" s="29"/>
      <c r="E42" s="29" t="s">
        <v>89</v>
      </c>
      <c r="F42" s="40" t="s">
        <v>500</v>
      </c>
      <c r="G42" s="173"/>
      <c r="H42" s="173"/>
      <c r="I42" s="173" t="s">
        <v>810</v>
      </c>
      <c r="J42" s="173">
        <v>9.08</v>
      </c>
      <c r="K42" s="173">
        <v>8.16</v>
      </c>
      <c r="L42" s="173">
        <v>1207</v>
      </c>
      <c r="M42" s="173">
        <v>560</v>
      </c>
      <c r="N42" s="173"/>
      <c r="O42" s="173"/>
      <c r="P42" s="173">
        <v>5</v>
      </c>
      <c r="Q42" s="173" t="s">
        <v>1103</v>
      </c>
      <c r="R42" s="173"/>
      <c r="S42" s="173"/>
      <c r="T42" s="173"/>
      <c r="U42" s="173"/>
      <c r="V42" s="173"/>
      <c r="W42" s="173"/>
      <c r="X42" s="173"/>
      <c r="Y42" s="173"/>
      <c r="Z42" s="173"/>
      <c r="AA42" s="173"/>
      <c r="AB42" s="173"/>
      <c r="AC42" s="173"/>
      <c r="AD42" s="173">
        <v>1</v>
      </c>
      <c r="AE42" s="173"/>
      <c r="AF42" s="18"/>
      <c r="AG42" s="18"/>
      <c r="AH42" s="18"/>
      <c r="AI42" s="18"/>
      <c r="AJ42" s="18"/>
      <c r="AK42" s="18"/>
      <c r="AL42" s="18"/>
      <c r="AM42" s="18"/>
      <c r="AN42" s="18">
        <v>1</v>
      </c>
      <c r="AO42" s="18">
        <v>1</v>
      </c>
      <c r="AP42" s="18">
        <v>1</v>
      </c>
      <c r="AQ42" s="18"/>
      <c r="AR42" s="18"/>
      <c r="AS42" s="18">
        <v>3687500</v>
      </c>
      <c r="AT42" s="18"/>
      <c r="AU42" s="18"/>
      <c r="AV42" s="18"/>
      <c r="AW42" s="18"/>
      <c r="AX42" s="18"/>
      <c r="AY42" s="8">
        <v>0.47770000000000001</v>
      </c>
      <c r="AZ42" s="8">
        <v>9.9999999999999995E-8</v>
      </c>
      <c r="BB42" s="173"/>
    </row>
    <row r="43" spans="1:76">
      <c r="A43" s="173" t="s">
        <v>26</v>
      </c>
      <c r="B43" s="29" t="s">
        <v>213</v>
      </c>
      <c r="C43" s="29" t="s">
        <v>91</v>
      </c>
      <c r="D43" s="29"/>
      <c r="E43" s="29" t="s">
        <v>89</v>
      </c>
      <c r="F43" s="173" t="s">
        <v>870</v>
      </c>
      <c r="G43" s="173" t="s">
        <v>500</v>
      </c>
      <c r="H43" s="173">
        <v>2</v>
      </c>
      <c r="I43" s="173" t="s">
        <v>30</v>
      </c>
      <c r="J43" s="173">
        <v>11.76</v>
      </c>
      <c r="K43" s="173"/>
      <c r="L43" s="173">
        <v>337</v>
      </c>
      <c r="M43" s="173">
        <v>229</v>
      </c>
      <c r="N43" s="173"/>
      <c r="O43" s="173"/>
      <c r="P43" s="173">
        <v>5</v>
      </c>
      <c r="Q43" s="173" t="s">
        <v>1103</v>
      </c>
      <c r="R43" s="173"/>
      <c r="S43" s="173"/>
      <c r="T43" s="173"/>
      <c r="U43" s="173"/>
      <c r="V43" s="173"/>
      <c r="W43" s="173"/>
      <c r="X43" s="173"/>
      <c r="Y43" s="173"/>
      <c r="Z43" s="173"/>
      <c r="AA43" s="173"/>
      <c r="AB43" s="173"/>
      <c r="AC43" s="173"/>
      <c r="AD43" s="173">
        <v>1</v>
      </c>
      <c r="AE43" s="173"/>
      <c r="AF43" s="18">
        <v>0.76800000000000002</v>
      </c>
      <c r="AG43" s="18"/>
      <c r="AH43" s="18"/>
      <c r="AI43" s="18"/>
      <c r="AJ43" s="18"/>
      <c r="AK43" s="18"/>
      <c r="AL43" s="18"/>
      <c r="AM43" s="18"/>
      <c r="AN43" s="18">
        <v>1</v>
      </c>
      <c r="AO43" s="18">
        <v>1</v>
      </c>
      <c r="AP43" s="18">
        <v>1</v>
      </c>
      <c r="AQ43" s="18"/>
      <c r="AR43" s="18"/>
      <c r="AS43" s="18"/>
      <c r="AT43" s="18"/>
      <c r="AU43" s="18"/>
      <c r="AV43" s="18"/>
      <c r="AW43" s="18"/>
      <c r="AX43" s="18"/>
      <c r="AY43" s="8">
        <v>0.47770000000000001</v>
      </c>
      <c r="AZ43" s="8">
        <v>9.9999999999999995E-8</v>
      </c>
      <c r="BB43" s="173" t="s">
        <v>92</v>
      </c>
    </row>
    <row r="44" spans="1:76">
      <c r="A44" s="39" t="s">
        <v>26</v>
      </c>
      <c r="B44" s="27" t="s">
        <v>214</v>
      </c>
      <c r="C44" s="27" t="s">
        <v>163</v>
      </c>
      <c r="D44" s="27" t="s">
        <v>248</v>
      </c>
      <c r="E44" s="27" t="s">
        <v>93</v>
      </c>
      <c r="F44" s="39" t="s">
        <v>501</v>
      </c>
      <c r="G44" s="39"/>
      <c r="H44" s="39"/>
      <c r="I44" s="39" t="s">
        <v>38</v>
      </c>
      <c r="J44" s="39">
        <v>2</v>
      </c>
      <c r="K44" s="39"/>
      <c r="L44" s="39">
        <v>673</v>
      </c>
      <c r="M44" s="39">
        <v>499</v>
      </c>
      <c r="N44" s="39"/>
      <c r="O44" s="39"/>
      <c r="P44" s="39">
        <v>5</v>
      </c>
      <c r="Q44" s="173" t="s">
        <v>1103</v>
      </c>
      <c r="R44" s="39"/>
      <c r="S44" s="39"/>
      <c r="T44" s="39"/>
      <c r="U44" s="39"/>
      <c r="V44" s="39"/>
      <c r="W44" s="39"/>
      <c r="X44" s="39"/>
      <c r="Y44" s="39"/>
      <c r="Z44" s="39"/>
      <c r="AA44" s="39">
        <v>1</v>
      </c>
      <c r="AB44" s="39"/>
      <c r="AC44" s="39"/>
      <c r="AD44" s="39">
        <v>1</v>
      </c>
      <c r="AE44" s="39">
        <v>1</v>
      </c>
      <c r="AF44" s="10">
        <v>-168.316</v>
      </c>
      <c r="AG44" s="10">
        <v>-59.268000000000001</v>
      </c>
      <c r="AH44" s="10"/>
      <c r="AI44" s="10"/>
      <c r="AJ44" s="10"/>
      <c r="AK44" s="10"/>
      <c r="AL44" s="10"/>
      <c r="AM44" s="10"/>
      <c r="AN44" s="10">
        <v>1</v>
      </c>
      <c r="AO44" s="10">
        <v>1</v>
      </c>
      <c r="AP44" s="10">
        <v>1</v>
      </c>
      <c r="AQ44" s="10">
        <v>1</v>
      </c>
      <c r="AR44" s="10"/>
      <c r="AS44" s="10">
        <v>3687620</v>
      </c>
      <c r="AT44" s="10"/>
      <c r="AU44" s="10"/>
      <c r="AV44" s="10"/>
      <c r="AW44" s="10"/>
      <c r="AX44" s="10"/>
      <c r="AY44" s="8">
        <v>0.47770000000000001</v>
      </c>
      <c r="AZ44" s="8">
        <v>9.9999999999999995E-8</v>
      </c>
      <c r="BB44" s="39"/>
    </row>
    <row r="45" spans="1:76" ht="13">
      <c r="A45" s="39" t="s">
        <v>26</v>
      </c>
      <c r="B45" s="28" t="s">
        <v>215</v>
      </c>
      <c r="C45" s="28" t="s">
        <v>164</v>
      </c>
      <c r="D45" s="28" t="s">
        <v>249</v>
      </c>
      <c r="E45" s="28" t="s">
        <v>94</v>
      </c>
      <c r="F45" s="39" t="s">
        <v>501</v>
      </c>
      <c r="G45" s="39"/>
      <c r="H45" s="39"/>
      <c r="I45" s="39" t="s">
        <v>38</v>
      </c>
      <c r="J45" s="39">
        <v>1.56</v>
      </c>
      <c r="K45" s="39"/>
      <c r="L45" s="2">
        <v>695</v>
      </c>
      <c r="M45" s="2">
        <v>526</v>
      </c>
      <c r="N45" s="39"/>
      <c r="O45" s="39"/>
      <c r="P45" s="39">
        <v>5</v>
      </c>
      <c r="Q45" s="173" t="s">
        <v>1103</v>
      </c>
      <c r="R45" s="39"/>
      <c r="S45" s="39"/>
      <c r="T45" s="39"/>
      <c r="U45" s="39"/>
      <c r="V45" s="39"/>
      <c r="W45" s="39"/>
      <c r="X45" s="39"/>
      <c r="Y45" s="39"/>
      <c r="Z45" s="39"/>
      <c r="AA45" s="39">
        <v>1</v>
      </c>
      <c r="AB45" s="39"/>
      <c r="AC45" s="39"/>
      <c r="AD45" s="39">
        <v>1</v>
      </c>
      <c r="AE45" s="39">
        <v>1</v>
      </c>
      <c r="AF45" s="117">
        <v>-8.5</v>
      </c>
      <c r="AG45" s="117">
        <v>-82.412000000000006</v>
      </c>
      <c r="AH45" s="10"/>
      <c r="AI45" s="10"/>
      <c r="AJ45" s="10"/>
      <c r="AK45" s="10"/>
      <c r="AL45" s="10"/>
      <c r="AM45" s="10"/>
      <c r="AN45" s="10">
        <v>1</v>
      </c>
      <c r="AO45" s="10">
        <v>1</v>
      </c>
      <c r="AP45" s="10">
        <v>1</v>
      </c>
      <c r="AQ45" s="10">
        <v>1</v>
      </c>
      <c r="AR45" s="10"/>
      <c r="AS45" s="10">
        <v>3687638</v>
      </c>
      <c r="AT45" s="10"/>
      <c r="AU45" s="10"/>
      <c r="AV45" s="10"/>
      <c r="AW45" s="10"/>
      <c r="AX45" s="10"/>
      <c r="AY45" s="8">
        <v>0.47770000000000001</v>
      </c>
      <c r="AZ45" s="8">
        <v>9.9999999999999995E-8</v>
      </c>
      <c r="BB45" s="39"/>
    </row>
    <row r="46" spans="1:76">
      <c r="A46" s="40" t="s">
        <v>64</v>
      </c>
      <c r="B46" s="40" t="s">
        <v>216</v>
      </c>
      <c r="C46" s="40" t="s">
        <v>95</v>
      </c>
      <c r="D46" s="40"/>
      <c r="E46" s="40" t="s">
        <v>96</v>
      </c>
      <c r="F46" s="40"/>
      <c r="G46" s="40"/>
      <c r="H46" s="40"/>
      <c r="I46" s="40" t="s">
        <v>30</v>
      </c>
      <c r="J46" s="40">
        <v>17.63</v>
      </c>
      <c r="K46" s="40"/>
      <c r="L46" s="40">
        <v>408</v>
      </c>
      <c r="M46" s="40">
        <v>300</v>
      </c>
      <c r="N46" s="40"/>
      <c r="O46" s="40"/>
      <c r="P46" s="40">
        <v>5</v>
      </c>
      <c r="Q46" s="173" t="s">
        <v>1103</v>
      </c>
      <c r="R46" s="40"/>
      <c r="S46" s="40"/>
      <c r="T46" s="40"/>
      <c r="U46" s="40"/>
      <c r="V46" s="40"/>
      <c r="W46" s="40"/>
      <c r="X46" s="40"/>
      <c r="Y46" s="40"/>
      <c r="Z46" s="40"/>
      <c r="AA46" s="40">
        <v>1</v>
      </c>
      <c r="AB46" s="40"/>
      <c r="AC46" s="40"/>
      <c r="AD46" s="40"/>
      <c r="AE46" s="40"/>
      <c r="AF46" s="9"/>
      <c r="AG46" s="9"/>
      <c r="AH46" s="9"/>
      <c r="AI46" s="9"/>
      <c r="AJ46" s="9"/>
      <c r="AK46" s="9"/>
      <c r="AL46" s="9"/>
      <c r="AM46" s="9"/>
      <c r="AN46" s="9">
        <v>1</v>
      </c>
      <c r="AO46" s="9">
        <v>1</v>
      </c>
      <c r="AP46" s="9">
        <v>1</v>
      </c>
      <c r="AQ46" s="9"/>
      <c r="AR46" s="9"/>
      <c r="AS46" s="9"/>
      <c r="AT46" s="9"/>
      <c r="AU46" s="9"/>
      <c r="AV46" s="9"/>
      <c r="AW46" s="9"/>
      <c r="AX46" s="9"/>
      <c r="AY46" s="8">
        <v>0.47770000000000001</v>
      </c>
      <c r="AZ46" s="8">
        <v>9.9999999999999995E-8</v>
      </c>
      <c r="BB46" s="40"/>
    </row>
    <row r="47" spans="1:76">
      <c r="A47" s="39" t="s">
        <v>26</v>
      </c>
      <c r="B47" s="26" t="s">
        <v>217</v>
      </c>
      <c r="C47" s="26" t="s">
        <v>165</v>
      </c>
      <c r="D47" s="26" t="s">
        <v>250</v>
      </c>
      <c r="E47" s="26" t="s">
        <v>97</v>
      </c>
      <c r="F47" s="39" t="s">
        <v>501</v>
      </c>
      <c r="G47" s="39"/>
      <c r="H47" s="39"/>
      <c r="I47" s="39" t="s">
        <v>38</v>
      </c>
      <c r="J47" s="39">
        <v>1.56</v>
      </c>
      <c r="K47" s="39"/>
      <c r="L47" s="39">
        <v>668</v>
      </c>
      <c r="M47" s="39">
        <v>515</v>
      </c>
      <c r="N47" s="39"/>
      <c r="O47" s="39"/>
      <c r="P47" s="39">
        <v>5</v>
      </c>
      <c r="Q47" s="173" t="s">
        <v>1103</v>
      </c>
      <c r="R47" s="39"/>
      <c r="S47" s="39"/>
      <c r="T47" s="39"/>
      <c r="U47" s="39"/>
      <c r="V47" s="39"/>
      <c r="W47" s="39"/>
      <c r="X47" s="39"/>
      <c r="Y47" s="39"/>
      <c r="Z47" s="39"/>
      <c r="AA47" s="39">
        <v>1</v>
      </c>
      <c r="AB47" s="39"/>
      <c r="AC47" s="39"/>
      <c r="AD47" s="39">
        <v>1</v>
      </c>
      <c r="AE47" s="39">
        <v>1</v>
      </c>
      <c r="AF47" s="10">
        <v>-7.9279999999999999</v>
      </c>
      <c r="AG47" s="10">
        <v>-82</v>
      </c>
      <c r="AH47" s="10"/>
      <c r="AI47" s="10"/>
      <c r="AJ47" s="10"/>
      <c r="AK47" s="10"/>
      <c r="AL47" s="10"/>
      <c r="AM47" s="10"/>
      <c r="AN47" s="10">
        <v>1</v>
      </c>
      <c r="AO47" s="10">
        <v>1</v>
      </c>
      <c r="AP47" s="10">
        <v>1</v>
      </c>
      <c r="AQ47" s="10">
        <v>1</v>
      </c>
      <c r="AR47" s="10"/>
      <c r="AS47" s="10">
        <v>3687625</v>
      </c>
      <c r="AT47" s="10"/>
      <c r="AU47" s="10"/>
      <c r="AV47" s="10"/>
      <c r="AW47" s="10"/>
      <c r="AX47" s="10"/>
      <c r="AY47" s="8">
        <v>0.47770000000000001</v>
      </c>
      <c r="AZ47" s="8">
        <v>9.9999999999999995E-8</v>
      </c>
      <c r="BB47" s="39"/>
    </row>
    <row r="48" spans="1:76">
      <c r="A48" s="39" t="s">
        <v>26</v>
      </c>
      <c r="B48" s="27" t="s">
        <v>797</v>
      </c>
      <c r="C48" s="27" t="s">
        <v>166</v>
      </c>
      <c r="D48" s="27" t="s">
        <v>251</v>
      </c>
      <c r="E48" s="27" t="s">
        <v>98</v>
      </c>
      <c r="F48" s="39" t="s">
        <v>501</v>
      </c>
      <c r="G48" s="39"/>
      <c r="H48" s="39"/>
      <c r="I48" s="39" t="s">
        <v>38</v>
      </c>
      <c r="J48" s="39">
        <v>1.77</v>
      </c>
      <c r="K48" s="39"/>
      <c r="L48" s="39">
        <v>687</v>
      </c>
      <c r="M48" s="39">
        <v>502</v>
      </c>
      <c r="N48" s="39"/>
      <c r="O48" s="39"/>
      <c r="P48" s="39">
        <v>5</v>
      </c>
      <c r="Q48" s="173" t="s">
        <v>1103</v>
      </c>
      <c r="R48" s="39"/>
      <c r="S48" s="39"/>
      <c r="T48" s="39"/>
      <c r="U48" s="39"/>
      <c r="V48" s="39"/>
      <c r="W48" s="39"/>
      <c r="X48" s="39"/>
      <c r="Y48" s="39"/>
      <c r="Z48" s="39"/>
      <c r="AA48" s="39">
        <v>1</v>
      </c>
      <c r="AB48" s="39"/>
      <c r="AC48" s="39"/>
      <c r="AD48" s="39">
        <v>1</v>
      </c>
      <c r="AE48" s="39">
        <v>1</v>
      </c>
      <c r="AF48" s="10">
        <v>-33.4</v>
      </c>
      <c r="AG48" s="10">
        <v>-54.768000000000001</v>
      </c>
      <c r="AH48" s="10"/>
      <c r="AI48" s="10"/>
      <c r="AJ48" s="10"/>
      <c r="AK48" s="10"/>
      <c r="AL48" s="10"/>
      <c r="AM48" s="10"/>
      <c r="AN48" s="10">
        <v>1</v>
      </c>
      <c r="AO48" s="10">
        <v>1</v>
      </c>
      <c r="AP48" s="10">
        <v>1</v>
      </c>
      <c r="AQ48" s="10">
        <v>1</v>
      </c>
      <c r="AR48" s="10"/>
      <c r="AS48" s="10">
        <v>3687500</v>
      </c>
      <c r="AT48" s="10"/>
      <c r="AU48" s="10"/>
      <c r="AV48" s="10"/>
      <c r="AW48" s="10"/>
      <c r="AX48" s="10"/>
      <c r="AY48" s="8">
        <v>0.47770000000000001</v>
      </c>
      <c r="AZ48" s="8">
        <v>9.9999999999999995E-8</v>
      </c>
      <c r="BB48" s="39"/>
    </row>
    <row r="49" spans="1:54">
      <c r="A49" s="39" t="s">
        <v>26</v>
      </c>
      <c r="B49" s="27" t="s">
        <v>298</v>
      </c>
      <c r="C49" s="46" t="s">
        <v>382</v>
      </c>
      <c r="D49" s="27" t="s">
        <v>252</v>
      </c>
      <c r="E49" s="27" t="s">
        <v>100</v>
      </c>
      <c r="F49" s="39" t="s">
        <v>501</v>
      </c>
      <c r="G49" s="39" t="s">
        <v>77</v>
      </c>
      <c r="H49" s="39">
        <v>1</v>
      </c>
      <c r="I49" s="39" t="s">
        <v>38</v>
      </c>
      <c r="J49" s="39">
        <v>3.24</v>
      </c>
      <c r="K49" s="39"/>
      <c r="L49" s="39">
        <v>673</v>
      </c>
      <c r="M49" s="39">
        <v>499</v>
      </c>
      <c r="N49" s="39"/>
      <c r="O49" s="39"/>
      <c r="P49" s="39">
        <v>5</v>
      </c>
      <c r="Q49" s="173" t="s">
        <v>1103</v>
      </c>
      <c r="R49" s="39"/>
      <c r="S49" s="39"/>
      <c r="T49" s="39"/>
      <c r="U49" s="39"/>
      <c r="V49" s="39"/>
      <c r="W49" s="39"/>
      <c r="X49" s="39"/>
      <c r="Y49" s="39"/>
      <c r="Z49" s="39"/>
      <c r="AA49" s="39">
        <v>1</v>
      </c>
      <c r="AB49" s="39"/>
      <c r="AC49" s="39"/>
      <c r="AD49" s="39">
        <v>1</v>
      </c>
      <c r="AE49" s="39"/>
      <c r="AF49" s="10">
        <v>5.96</v>
      </c>
      <c r="AG49" s="10"/>
      <c r="AH49" s="10"/>
      <c r="AI49" s="10"/>
      <c r="AJ49" s="10"/>
      <c r="AK49" s="10"/>
      <c r="AL49" s="10"/>
      <c r="AM49" s="10"/>
      <c r="AN49" s="10">
        <v>1</v>
      </c>
      <c r="AO49" s="10">
        <v>1</v>
      </c>
      <c r="AP49" s="10">
        <v>1</v>
      </c>
      <c r="AQ49" s="10">
        <v>1</v>
      </c>
      <c r="AR49" s="10"/>
      <c r="AS49" s="10">
        <v>3687490</v>
      </c>
      <c r="AT49" s="10"/>
      <c r="AU49" s="10"/>
      <c r="AV49" s="10"/>
      <c r="AW49" s="10"/>
      <c r="AX49" s="10"/>
      <c r="AY49" s="8">
        <v>0.47770000000000001</v>
      </c>
      <c r="AZ49" s="8">
        <v>9.9999999999999995E-8</v>
      </c>
      <c r="BB49" s="39" t="s">
        <v>253</v>
      </c>
    </row>
    <row r="50" spans="1:54">
      <c r="A50" s="173" t="s">
        <v>26</v>
      </c>
      <c r="B50" s="29" t="s">
        <v>219</v>
      </c>
      <c r="C50" s="29" t="s">
        <v>99</v>
      </c>
      <c r="D50" s="29"/>
      <c r="E50" s="29" t="s">
        <v>100</v>
      </c>
      <c r="F50" s="39" t="s">
        <v>500</v>
      </c>
      <c r="G50" s="173"/>
      <c r="H50" s="173"/>
      <c r="I50" s="173" t="s">
        <v>30</v>
      </c>
      <c r="J50" s="173">
        <v>225</v>
      </c>
      <c r="K50" s="173"/>
      <c r="L50" s="173">
        <v>408</v>
      </c>
      <c r="M50" s="173">
        <v>300</v>
      </c>
      <c r="N50" s="173"/>
      <c r="O50" s="173"/>
      <c r="P50" s="173">
        <v>5</v>
      </c>
      <c r="Q50" s="173" t="s">
        <v>1103</v>
      </c>
      <c r="R50" s="173"/>
      <c r="S50" s="173"/>
      <c r="T50" s="173"/>
      <c r="U50" s="173"/>
      <c r="V50" s="173"/>
      <c r="W50" s="173"/>
      <c r="X50" s="173"/>
      <c r="Y50" s="173"/>
      <c r="Z50" s="173"/>
      <c r="AA50" s="173"/>
      <c r="AB50" s="173">
        <v>1</v>
      </c>
      <c r="AC50" s="173"/>
      <c r="AD50" s="173"/>
      <c r="AE50" s="173"/>
      <c r="AF50" s="18"/>
      <c r="AG50" s="18"/>
      <c r="AH50" s="18"/>
      <c r="AI50" s="18"/>
      <c r="AJ50" s="18"/>
      <c r="AK50" s="18"/>
      <c r="AL50" s="18"/>
      <c r="AM50" s="18"/>
      <c r="AN50" s="18">
        <v>1</v>
      </c>
      <c r="AO50" s="18">
        <v>1</v>
      </c>
      <c r="AP50" s="18">
        <v>1</v>
      </c>
      <c r="AQ50" s="18"/>
      <c r="AR50" s="18"/>
      <c r="AS50" s="18">
        <v>3687500</v>
      </c>
      <c r="AT50" s="18"/>
      <c r="AU50" s="18"/>
      <c r="AV50" s="18"/>
      <c r="AW50" s="18"/>
      <c r="AX50" s="18"/>
      <c r="AY50" s="8">
        <v>0.47770000000000001</v>
      </c>
      <c r="AZ50" s="8">
        <v>9.9999999999999995E-8</v>
      </c>
      <c r="BB50" s="173"/>
    </row>
    <row r="51" spans="1:54" s="11" customFormat="1">
      <c r="A51" s="42" t="s">
        <v>26</v>
      </c>
      <c r="B51" s="28" t="s">
        <v>220</v>
      </c>
      <c r="C51" s="28" t="s">
        <v>101</v>
      </c>
      <c r="D51" s="28"/>
      <c r="E51" s="28" t="s">
        <v>100</v>
      </c>
      <c r="F51" s="42" t="s">
        <v>29</v>
      </c>
      <c r="G51" s="42"/>
      <c r="H51" s="42"/>
      <c r="I51" s="42" t="s">
        <v>38</v>
      </c>
      <c r="J51" s="42">
        <v>145</v>
      </c>
      <c r="K51" s="42"/>
      <c r="L51" s="42"/>
      <c r="M51" s="42"/>
      <c r="N51" s="42"/>
      <c r="O51" s="42"/>
      <c r="P51" s="42">
        <v>5</v>
      </c>
      <c r="Q51" s="173" t="s">
        <v>1103</v>
      </c>
      <c r="R51" s="42"/>
      <c r="S51" s="42"/>
      <c r="T51" s="42"/>
      <c r="U51" s="42"/>
      <c r="V51" s="42"/>
      <c r="W51" s="42"/>
      <c r="X51" s="42"/>
      <c r="Y51" s="42"/>
      <c r="Z51" s="42"/>
      <c r="AA51" s="42"/>
      <c r="AB51" s="42">
        <v>1</v>
      </c>
      <c r="AC51" s="42"/>
      <c r="AD51" s="42"/>
      <c r="AE51" s="42"/>
      <c r="AF51" s="15"/>
      <c r="AG51" s="15"/>
      <c r="AH51" s="15"/>
      <c r="AI51" s="15"/>
      <c r="AJ51" s="15"/>
      <c r="AK51" s="15"/>
      <c r="AL51" s="15"/>
      <c r="AM51" s="15"/>
      <c r="AN51" s="15">
        <v>1</v>
      </c>
      <c r="AO51" s="15">
        <v>1</v>
      </c>
      <c r="AP51" s="15">
        <v>1</v>
      </c>
      <c r="AQ51" s="15"/>
      <c r="AR51" s="15"/>
      <c r="AS51" s="10"/>
      <c r="AT51" s="15"/>
      <c r="AU51" s="15"/>
      <c r="AV51" s="15"/>
      <c r="AW51" s="15"/>
      <c r="AX51" s="15"/>
      <c r="AY51" s="8">
        <v>0.47770000000000001</v>
      </c>
      <c r="AZ51" s="8">
        <v>9.9999999999999995E-8</v>
      </c>
      <c r="BB51" s="42"/>
    </row>
    <row r="52" spans="1:54">
      <c r="A52" s="173" t="s">
        <v>26</v>
      </c>
      <c r="B52" s="29" t="s">
        <v>263</v>
      </c>
      <c r="C52" s="29" t="s">
        <v>261</v>
      </c>
      <c r="D52" s="29"/>
      <c r="E52" s="29" t="s">
        <v>102</v>
      </c>
      <c r="F52" s="39" t="s">
        <v>500</v>
      </c>
      <c r="G52" s="173"/>
      <c r="H52" s="173">
        <v>1</v>
      </c>
      <c r="I52" s="173" t="s">
        <v>810</v>
      </c>
      <c r="J52" s="173">
        <v>7.84</v>
      </c>
      <c r="K52" s="173">
        <v>7.37</v>
      </c>
      <c r="L52" s="173">
        <v>944</v>
      </c>
      <c r="M52" s="173">
        <v>643</v>
      </c>
      <c r="N52" s="173"/>
      <c r="O52" s="173"/>
      <c r="P52" s="173">
        <v>5</v>
      </c>
      <c r="Q52" s="173" t="s">
        <v>1103</v>
      </c>
      <c r="R52" s="173"/>
      <c r="S52" s="173"/>
      <c r="T52" s="173"/>
      <c r="U52" s="173"/>
      <c r="V52" s="173"/>
      <c r="W52" s="173"/>
      <c r="X52" s="173"/>
      <c r="Y52" s="173"/>
      <c r="Z52" s="173"/>
      <c r="AA52" s="173"/>
      <c r="AB52" s="173"/>
      <c r="AC52" s="18"/>
      <c r="AD52" s="18"/>
      <c r="AE52" s="18"/>
      <c r="AF52" s="18"/>
      <c r="AG52" s="18"/>
      <c r="AH52" s="18"/>
      <c r="AI52" s="18"/>
      <c r="AJ52" s="18"/>
      <c r="AK52" s="18"/>
      <c r="AL52" s="18"/>
      <c r="AM52" s="18"/>
      <c r="AN52" s="18">
        <v>1</v>
      </c>
      <c r="AO52" s="18"/>
      <c r="AP52" s="18"/>
      <c r="AQ52" s="18"/>
      <c r="AR52" s="18">
        <v>1</v>
      </c>
      <c r="AS52" s="18"/>
      <c r="AT52" s="18"/>
      <c r="AU52" s="18"/>
      <c r="AV52" s="18"/>
      <c r="AW52" s="18"/>
      <c r="AX52" s="18"/>
      <c r="AY52" s="8">
        <v>0.47770000000000001</v>
      </c>
      <c r="AZ52" s="8">
        <v>9.9999999999999995E-8</v>
      </c>
      <c r="BB52" s="173"/>
    </row>
    <row r="53" spans="1:54">
      <c r="A53" s="173" t="s">
        <v>26</v>
      </c>
      <c r="B53" s="29" t="s">
        <v>264</v>
      </c>
      <c r="C53" s="29" t="s">
        <v>262</v>
      </c>
      <c r="D53" s="29"/>
      <c r="E53" s="29" t="s">
        <v>102</v>
      </c>
      <c r="F53" s="39" t="s">
        <v>500</v>
      </c>
      <c r="G53" s="173"/>
      <c r="H53" s="173">
        <v>1</v>
      </c>
      <c r="I53" s="173" t="s">
        <v>810</v>
      </c>
      <c r="J53" s="173">
        <v>8.5500000000000007</v>
      </c>
      <c r="K53" s="173">
        <v>7.32</v>
      </c>
      <c r="L53" s="173">
        <v>876</v>
      </c>
      <c r="M53" s="173">
        <v>669.5</v>
      </c>
      <c r="N53" s="173"/>
      <c r="O53" s="173"/>
      <c r="P53" s="173">
        <v>5</v>
      </c>
      <c r="Q53" s="173" t="s">
        <v>1103</v>
      </c>
      <c r="R53" s="173"/>
      <c r="S53" s="173"/>
      <c r="T53" s="173"/>
      <c r="U53" s="173"/>
      <c r="V53" s="173"/>
      <c r="W53" s="173"/>
      <c r="X53" s="173"/>
      <c r="Y53" s="173"/>
      <c r="Z53" s="173"/>
      <c r="AA53" s="173"/>
      <c r="AB53" s="173"/>
      <c r="AC53" s="18"/>
      <c r="AD53" s="18">
        <v>1</v>
      </c>
      <c r="AE53" s="18"/>
      <c r="AF53" s="18"/>
      <c r="AG53" s="18"/>
      <c r="AH53" s="18"/>
      <c r="AI53" s="18"/>
      <c r="AJ53" s="18"/>
      <c r="AK53" s="18"/>
      <c r="AL53" s="18"/>
      <c r="AM53" s="18"/>
      <c r="AN53" s="18">
        <v>1</v>
      </c>
      <c r="AO53" s="18"/>
      <c r="AP53" s="18"/>
      <c r="AQ53" s="18"/>
      <c r="AR53" s="18"/>
      <c r="AS53" s="18"/>
      <c r="AT53" s="18"/>
      <c r="AU53" s="18"/>
      <c r="AV53" s="18"/>
      <c r="AW53" s="18"/>
      <c r="AX53" s="18"/>
      <c r="AY53" s="8">
        <v>0.47770000000000001</v>
      </c>
      <c r="AZ53" s="8">
        <v>9.9999999999999995E-8</v>
      </c>
      <c r="BB53" s="173"/>
    </row>
    <row r="54" spans="1:54">
      <c r="A54" s="173" t="s">
        <v>26</v>
      </c>
      <c r="B54" s="29" t="s">
        <v>265</v>
      </c>
      <c r="C54" s="29" t="s">
        <v>106</v>
      </c>
      <c r="D54" s="29"/>
      <c r="E54" s="29" t="s">
        <v>102</v>
      </c>
      <c r="F54" s="39" t="s">
        <v>500</v>
      </c>
      <c r="G54" s="173"/>
      <c r="H54" s="173">
        <v>1</v>
      </c>
      <c r="I54" s="173" t="s">
        <v>810</v>
      </c>
      <c r="J54" s="173">
        <v>7.6</v>
      </c>
      <c r="K54" s="173">
        <v>7.14</v>
      </c>
      <c r="L54" s="173">
        <v>891</v>
      </c>
      <c r="M54" s="173">
        <v>622</v>
      </c>
      <c r="N54" s="173"/>
      <c r="O54" s="173"/>
      <c r="P54" s="173">
        <v>5</v>
      </c>
      <c r="Q54" s="173" t="s">
        <v>1103</v>
      </c>
      <c r="R54" s="173"/>
      <c r="S54" s="173"/>
      <c r="T54" s="173"/>
      <c r="U54" s="173"/>
      <c r="V54" s="173"/>
      <c r="W54" s="173"/>
      <c r="X54" s="173"/>
      <c r="Y54" s="173"/>
      <c r="Z54" s="173"/>
      <c r="AA54" s="173"/>
      <c r="AB54" s="173"/>
      <c r="AC54" s="18"/>
      <c r="AD54" s="18"/>
      <c r="AE54" s="18"/>
      <c r="AF54" s="18"/>
      <c r="AG54" s="18"/>
      <c r="AH54" s="18"/>
      <c r="AI54" s="18"/>
      <c r="AJ54" s="18"/>
      <c r="AK54" s="18"/>
      <c r="AL54" s="18"/>
      <c r="AM54" s="18"/>
      <c r="AN54" s="18">
        <v>1</v>
      </c>
      <c r="AO54" s="18"/>
      <c r="AP54" s="18"/>
      <c r="AQ54" s="18"/>
      <c r="AR54" s="18"/>
      <c r="AS54" s="18"/>
      <c r="AT54" s="18"/>
      <c r="AU54" s="18"/>
      <c r="AV54" s="18"/>
      <c r="AW54" s="18"/>
      <c r="AX54" s="18"/>
      <c r="AY54" s="8">
        <v>0.47770000000000001</v>
      </c>
      <c r="AZ54" s="8">
        <v>9.9999999999999995E-8</v>
      </c>
      <c r="BB54" s="173"/>
    </row>
    <row r="55" spans="1:54">
      <c r="A55" s="173" t="s">
        <v>26</v>
      </c>
      <c r="B55" s="29" t="s">
        <v>266</v>
      </c>
      <c r="C55" s="29" t="s">
        <v>107</v>
      </c>
      <c r="D55" s="29"/>
      <c r="E55" s="29" t="s">
        <v>102</v>
      </c>
      <c r="F55" s="173" t="s">
        <v>141</v>
      </c>
      <c r="G55" s="173"/>
      <c r="H55" s="173">
        <v>1</v>
      </c>
      <c r="I55" s="173" t="s">
        <v>30</v>
      </c>
      <c r="J55" s="173">
        <v>19.63</v>
      </c>
      <c r="K55" s="173"/>
      <c r="L55" s="173">
        <v>360</v>
      </c>
      <c r="M55" s="173">
        <v>292</v>
      </c>
      <c r="N55" s="173"/>
      <c r="O55" s="173"/>
      <c r="P55" s="173">
        <v>5</v>
      </c>
      <c r="Q55" s="173" t="s">
        <v>1103</v>
      </c>
      <c r="R55" s="173"/>
      <c r="S55" s="173"/>
      <c r="T55" s="173"/>
      <c r="U55" s="173"/>
      <c r="V55" s="173"/>
      <c r="W55" s="173"/>
      <c r="X55" s="173"/>
      <c r="Y55" s="173"/>
      <c r="Z55" s="173"/>
      <c r="AA55" s="173"/>
      <c r="AB55" s="173"/>
      <c r="AC55" s="18"/>
      <c r="AD55" s="18"/>
      <c r="AE55" s="18"/>
      <c r="AF55" s="18"/>
      <c r="AG55" s="18"/>
      <c r="AH55" s="18"/>
      <c r="AI55" s="18"/>
      <c r="AJ55" s="18"/>
      <c r="AK55" s="18"/>
      <c r="AL55" s="18"/>
      <c r="AM55" s="18"/>
      <c r="AN55" s="18">
        <v>1</v>
      </c>
      <c r="AO55" s="18"/>
      <c r="AP55" s="18"/>
      <c r="AQ55" s="18"/>
      <c r="AR55" s="18"/>
      <c r="AS55" s="18"/>
      <c r="AT55" s="18"/>
      <c r="AU55" s="18"/>
      <c r="AV55" s="18"/>
      <c r="AW55" s="18"/>
      <c r="AX55" s="18"/>
      <c r="AY55" s="8">
        <v>0.47770000000000001</v>
      </c>
      <c r="AZ55" s="8">
        <v>9.9999999999999995E-8</v>
      </c>
      <c r="BB55" s="173"/>
    </row>
    <row r="56" spans="1:54">
      <c r="A56" s="173" t="s">
        <v>26</v>
      </c>
      <c r="B56" s="29" t="s">
        <v>267</v>
      </c>
      <c r="C56" s="29" t="s">
        <v>108</v>
      </c>
      <c r="D56" s="29"/>
      <c r="E56" s="29" t="s">
        <v>102</v>
      </c>
      <c r="F56" s="173" t="s">
        <v>141</v>
      </c>
      <c r="G56" s="173"/>
      <c r="H56" s="173">
        <v>1</v>
      </c>
      <c r="I56" s="173" t="s">
        <v>30</v>
      </c>
      <c r="J56" s="173">
        <v>20.384615384615383</v>
      </c>
      <c r="K56" s="173"/>
      <c r="L56" s="173">
        <v>359</v>
      </c>
      <c r="M56" s="173">
        <v>292</v>
      </c>
      <c r="N56" s="173"/>
      <c r="O56" s="173"/>
      <c r="P56" s="173">
        <v>5</v>
      </c>
      <c r="Q56" s="173" t="s">
        <v>1103</v>
      </c>
      <c r="R56" s="173"/>
      <c r="S56" s="173"/>
      <c r="T56" s="173"/>
      <c r="U56" s="173"/>
      <c r="V56" s="173"/>
      <c r="W56" s="173"/>
      <c r="X56" s="173"/>
      <c r="Y56" s="173"/>
      <c r="Z56" s="173"/>
      <c r="AA56" s="173"/>
      <c r="AB56" s="173"/>
      <c r="AC56" s="18"/>
      <c r="AD56" s="18"/>
      <c r="AE56" s="18"/>
      <c r="AF56" s="18"/>
      <c r="AG56" s="18"/>
      <c r="AH56" s="18"/>
      <c r="AI56" s="18"/>
      <c r="AJ56" s="18"/>
      <c r="AK56" s="18"/>
      <c r="AL56" s="18"/>
      <c r="AM56" s="18"/>
      <c r="AN56" s="18">
        <v>1</v>
      </c>
      <c r="AO56" s="18"/>
      <c r="AP56" s="18"/>
      <c r="AQ56" s="18"/>
      <c r="AR56" s="18"/>
      <c r="AS56" s="18"/>
      <c r="AT56" s="18"/>
      <c r="AU56" s="18"/>
      <c r="AV56" s="18"/>
      <c r="AW56" s="18"/>
      <c r="AX56" s="18"/>
      <c r="AY56" s="8">
        <v>0.47770000000000001</v>
      </c>
      <c r="AZ56" s="8">
        <v>9.9999999999999995E-8</v>
      </c>
      <c r="BB56" s="173"/>
    </row>
    <row r="57" spans="1:54">
      <c r="A57" s="173" t="s">
        <v>26</v>
      </c>
      <c r="B57" s="29" t="s">
        <v>268</v>
      </c>
      <c r="C57" s="29" t="s">
        <v>109</v>
      </c>
      <c r="D57" s="29"/>
      <c r="E57" s="29" t="s">
        <v>102</v>
      </c>
      <c r="F57" s="173" t="s">
        <v>141</v>
      </c>
      <c r="G57" s="173"/>
      <c r="H57" s="173">
        <v>1</v>
      </c>
      <c r="I57" s="173" t="s">
        <v>30</v>
      </c>
      <c r="J57" s="173">
        <v>20.384615384615383</v>
      </c>
      <c r="K57" s="173"/>
      <c r="L57" s="173">
        <v>359</v>
      </c>
      <c r="M57" s="173">
        <v>286</v>
      </c>
      <c r="N57" s="173"/>
      <c r="O57" s="173"/>
      <c r="P57" s="173">
        <v>5</v>
      </c>
      <c r="Q57" s="173" t="s">
        <v>1103</v>
      </c>
      <c r="R57" s="173"/>
      <c r="S57" s="173"/>
      <c r="T57" s="173"/>
      <c r="U57" s="173"/>
      <c r="V57" s="173"/>
      <c r="W57" s="173"/>
      <c r="X57" s="173"/>
      <c r="Y57" s="173"/>
      <c r="Z57" s="173"/>
      <c r="AA57" s="173"/>
      <c r="AB57" s="173"/>
      <c r="AC57" s="18"/>
      <c r="AD57" s="18"/>
      <c r="AE57" s="18"/>
      <c r="AF57" s="18"/>
      <c r="AG57" s="18"/>
      <c r="AH57" s="18"/>
      <c r="AI57" s="18"/>
      <c r="AJ57" s="18"/>
      <c r="AK57" s="18"/>
      <c r="AL57" s="18"/>
      <c r="AM57" s="18"/>
      <c r="AN57" s="18">
        <v>1</v>
      </c>
      <c r="AO57" s="18"/>
      <c r="AP57" s="18"/>
      <c r="AQ57" s="18"/>
      <c r="AR57" s="18"/>
      <c r="AS57" s="18"/>
      <c r="AT57" s="18"/>
      <c r="AU57" s="18"/>
      <c r="AV57" s="18"/>
      <c r="AW57" s="18"/>
      <c r="AX57" s="18"/>
      <c r="AY57" s="8">
        <v>0.47770000000000001</v>
      </c>
      <c r="AZ57" s="8">
        <v>9.9999999999999995E-8</v>
      </c>
      <c r="BB57" s="173"/>
    </row>
    <row r="58" spans="1:54">
      <c r="A58" s="173" t="s">
        <v>26</v>
      </c>
      <c r="B58" s="29" t="s">
        <v>269</v>
      </c>
      <c r="C58" s="29" t="s">
        <v>110</v>
      </c>
      <c r="D58" s="29"/>
      <c r="E58" s="29" t="s">
        <v>102</v>
      </c>
      <c r="F58" s="173" t="s">
        <v>141</v>
      </c>
      <c r="G58" s="173"/>
      <c r="H58" s="173">
        <v>1</v>
      </c>
      <c r="I58" s="173" t="s">
        <v>30</v>
      </c>
      <c r="J58" s="173">
        <v>19.62962962962963</v>
      </c>
      <c r="K58" s="173"/>
      <c r="L58" s="173">
        <v>436</v>
      </c>
      <c r="M58" s="173">
        <v>292</v>
      </c>
      <c r="N58" s="173"/>
      <c r="O58" s="173"/>
      <c r="P58" s="173">
        <v>5</v>
      </c>
      <c r="Q58" s="173" t="s">
        <v>1103</v>
      </c>
      <c r="R58" s="173"/>
      <c r="S58" s="173"/>
      <c r="T58" s="173"/>
      <c r="U58" s="173"/>
      <c r="V58" s="173"/>
      <c r="W58" s="173"/>
      <c r="X58" s="173"/>
      <c r="Y58" s="173"/>
      <c r="Z58" s="173"/>
      <c r="AA58" s="173"/>
      <c r="AB58" s="173"/>
      <c r="AC58" s="18"/>
      <c r="AD58" s="18"/>
      <c r="AE58" s="18"/>
      <c r="AF58" s="18"/>
      <c r="AG58" s="18"/>
      <c r="AH58" s="18"/>
      <c r="AI58" s="18"/>
      <c r="AJ58" s="18"/>
      <c r="AK58" s="18"/>
      <c r="AL58" s="18"/>
      <c r="AM58" s="18"/>
      <c r="AN58" s="18">
        <v>1</v>
      </c>
      <c r="AO58" s="18"/>
      <c r="AP58" s="18"/>
      <c r="AQ58" s="18"/>
      <c r="AR58" s="18"/>
      <c r="AS58" s="18"/>
      <c r="AT58" s="18"/>
      <c r="AU58" s="18"/>
      <c r="AV58" s="18"/>
      <c r="AW58" s="18"/>
      <c r="AX58" s="18"/>
      <c r="AY58" s="8">
        <v>0.47770000000000001</v>
      </c>
      <c r="AZ58" s="8">
        <v>9.9999999999999995E-8</v>
      </c>
      <c r="BB58" s="173"/>
    </row>
    <row r="59" spans="1:54">
      <c r="A59" s="173" t="s">
        <v>26</v>
      </c>
      <c r="B59" s="29" t="s">
        <v>270</v>
      </c>
      <c r="C59" s="29" t="s">
        <v>111</v>
      </c>
      <c r="D59" s="29"/>
      <c r="E59" s="29" t="s">
        <v>102</v>
      </c>
      <c r="F59" s="173" t="s">
        <v>141</v>
      </c>
      <c r="G59" s="173"/>
      <c r="H59" s="173">
        <v>1</v>
      </c>
      <c r="I59" s="173" t="s">
        <v>30</v>
      </c>
      <c r="J59" s="173">
        <v>19.62962962962963</v>
      </c>
      <c r="K59" s="173"/>
      <c r="L59" s="173">
        <v>294</v>
      </c>
      <c r="M59" s="173">
        <v>285</v>
      </c>
      <c r="N59" s="173"/>
      <c r="O59" s="173"/>
      <c r="P59" s="173">
        <v>5</v>
      </c>
      <c r="Q59" s="173" t="s">
        <v>1103</v>
      </c>
      <c r="R59" s="173"/>
      <c r="S59" s="173"/>
      <c r="T59" s="173"/>
      <c r="U59" s="173"/>
      <c r="V59" s="173"/>
      <c r="W59" s="173"/>
      <c r="X59" s="173"/>
      <c r="Y59" s="173"/>
      <c r="Z59" s="173"/>
      <c r="AA59" s="173"/>
      <c r="AB59" s="173"/>
      <c r="AC59" s="18"/>
      <c r="AD59" s="18"/>
      <c r="AE59" s="18"/>
      <c r="AF59" s="18"/>
      <c r="AG59" s="18"/>
      <c r="AH59" s="18"/>
      <c r="AI59" s="18"/>
      <c r="AJ59" s="18"/>
      <c r="AK59" s="18"/>
      <c r="AL59" s="18"/>
      <c r="AM59" s="18"/>
      <c r="AN59" s="18">
        <v>1</v>
      </c>
      <c r="AO59" s="18"/>
      <c r="AP59" s="18"/>
      <c r="AQ59" s="18"/>
      <c r="AR59" s="18"/>
      <c r="AS59" s="18"/>
      <c r="AT59" s="18"/>
      <c r="AU59" s="18"/>
      <c r="AV59" s="18"/>
      <c r="AW59" s="18"/>
      <c r="AX59" s="18"/>
      <c r="AY59" s="8">
        <v>0.47770000000000001</v>
      </c>
      <c r="AZ59" s="8">
        <v>9.9999999999999995E-8</v>
      </c>
      <c r="BB59" s="173"/>
    </row>
    <row r="60" spans="1:54">
      <c r="A60" s="173" t="s">
        <v>26</v>
      </c>
      <c r="B60" s="29" t="s">
        <v>271</v>
      </c>
      <c r="C60" s="29" t="s">
        <v>112</v>
      </c>
      <c r="D60" s="29"/>
      <c r="E60" s="29" t="s">
        <v>102</v>
      </c>
      <c r="F60" s="173" t="s">
        <v>141</v>
      </c>
      <c r="G60" s="173"/>
      <c r="H60" s="173">
        <v>1</v>
      </c>
      <c r="I60" s="173" t="s">
        <v>30</v>
      </c>
      <c r="J60" s="173">
        <v>19.62962962962963</v>
      </c>
      <c r="K60" s="173"/>
      <c r="L60" s="173">
        <v>367</v>
      </c>
      <c r="M60" s="173">
        <v>297</v>
      </c>
      <c r="N60" s="173"/>
      <c r="O60" s="173"/>
      <c r="P60" s="173">
        <v>5</v>
      </c>
      <c r="Q60" s="173" t="s">
        <v>1103</v>
      </c>
      <c r="R60" s="173"/>
      <c r="S60" s="173"/>
      <c r="T60" s="173"/>
      <c r="U60" s="173"/>
      <c r="V60" s="173"/>
      <c r="W60" s="173"/>
      <c r="X60" s="173"/>
      <c r="Y60" s="173"/>
      <c r="Z60" s="173"/>
      <c r="AA60" s="173"/>
      <c r="AB60" s="173"/>
      <c r="AC60" s="18"/>
      <c r="AD60" s="18"/>
      <c r="AE60" s="18"/>
      <c r="AF60" s="18"/>
      <c r="AG60" s="18"/>
      <c r="AH60" s="18"/>
      <c r="AI60" s="18"/>
      <c r="AJ60" s="18"/>
      <c r="AK60" s="18"/>
      <c r="AL60" s="18"/>
      <c r="AM60" s="18"/>
      <c r="AN60" s="18">
        <v>1</v>
      </c>
      <c r="AO60" s="18"/>
      <c r="AP60" s="18"/>
      <c r="AQ60" s="18"/>
      <c r="AR60" s="18"/>
      <c r="AS60" s="18"/>
      <c r="AT60" s="18"/>
      <c r="AU60" s="18"/>
      <c r="AV60" s="18"/>
      <c r="AW60" s="18"/>
      <c r="AX60" s="18"/>
      <c r="AY60" s="8">
        <v>0.47770000000000001</v>
      </c>
      <c r="AZ60" s="8">
        <v>9.9999999999999995E-8</v>
      </c>
      <c r="BB60" s="173"/>
    </row>
    <row r="61" spans="1:54">
      <c r="A61" s="173" t="s">
        <v>26</v>
      </c>
      <c r="B61" s="29" t="s">
        <v>221</v>
      </c>
      <c r="C61" s="29" t="s">
        <v>113</v>
      </c>
      <c r="D61" s="29"/>
      <c r="E61" s="29" t="s">
        <v>102</v>
      </c>
      <c r="F61" s="173" t="s">
        <v>141</v>
      </c>
      <c r="G61" s="173"/>
      <c r="H61" s="173">
        <v>1</v>
      </c>
      <c r="I61" s="173" t="s">
        <v>30</v>
      </c>
      <c r="J61" s="173">
        <v>20</v>
      </c>
      <c r="K61" s="173"/>
      <c r="L61" s="173">
        <v>411</v>
      </c>
      <c r="M61" s="173">
        <v>286</v>
      </c>
      <c r="N61" s="173"/>
      <c r="O61" s="173"/>
      <c r="P61" s="173">
        <v>5</v>
      </c>
      <c r="Q61" s="173" t="s">
        <v>1103</v>
      </c>
      <c r="R61" s="173"/>
      <c r="S61" s="173"/>
      <c r="T61" s="173"/>
      <c r="U61" s="173"/>
      <c r="V61" s="173"/>
      <c r="W61" s="173"/>
      <c r="X61" s="173"/>
      <c r="Y61" s="173"/>
      <c r="Z61" s="173"/>
      <c r="AA61" s="173"/>
      <c r="AB61" s="173"/>
      <c r="AC61" s="18"/>
      <c r="AD61" s="18"/>
      <c r="AE61" s="18"/>
      <c r="AF61" s="18"/>
      <c r="AG61" s="18"/>
      <c r="AH61" s="18"/>
      <c r="AI61" s="18"/>
      <c r="AJ61" s="18"/>
      <c r="AK61" s="18"/>
      <c r="AL61" s="18"/>
      <c r="AM61" s="18"/>
      <c r="AN61" s="18">
        <v>1</v>
      </c>
      <c r="AO61" s="18"/>
      <c r="AP61" s="18"/>
      <c r="AQ61" s="18"/>
      <c r="AR61" s="18"/>
      <c r="AS61" s="18"/>
      <c r="AT61" s="18"/>
      <c r="AU61" s="18"/>
      <c r="AV61" s="18"/>
      <c r="AW61" s="18"/>
      <c r="AX61" s="18"/>
      <c r="AY61" s="8">
        <v>0.47770000000000001</v>
      </c>
      <c r="AZ61" s="8">
        <v>9.9999999999999995E-8</v>
      </c>
      <c r="BB61" s="173"/>
    </row>
    <row r="62" spans="1:54">
      <c r="A62" s="173" t="s">
        <v>26</v>
      </c>
      <c r="B62" s="29" t="s">
        <v>222</v>
      </c>
      <c r="C62" s="29" t="s">
        <v>114</v>
      </c>
      <c r="D62" s="29"/>
      <c r="E62" s="29" t="s">
        <v>102</v>
      </c>
      <c r="F62" s="173" t="s">
        <v>141</v>
      </c>
      <c r="G62" s="173"/>
      <c r="H62" s="173">
        <v>1</v>
      </c>
      <c r="I62" s="173" t="s">
        <v>30</v>
      </c>
      <c r="J62" s="173">
        <v>19.272727272727273</v>
      </c>
      <c r="K62" s="173"/>
      <c r="L62" s="173">
        <v>404</v>
      </c>
      <c r="M62" s="173">
        <v>273</v>
      </c>
      <c r="N62" s="173"/>
      <c r="O62" s="173"/>
      <c r="P62" s="173">
        <v>5</v>
      </c>
      <c r="Q62" s="173" t="s">
        <v>1103</v>
      </c>
      <c r="R62" s="173"/>
      <c r="S62" s="173"/>
      <c r="T62" s="173"/>
      <c r="U62" s="173"/>
      <c r="V62" s="173"/>
      <c r="W62" s="173"/>
      <c r="X62" s="173"/>
      <c r="Y62" s="173"/>
      <c r="Z62" s="173"/>
      <c r="AA62" s="173"/>
      <c r="AB62" s="173"/>
      <c r="AC62" s="18"/>
      <c r="AD62" s="18"/>
      <c r="AE62" s="18"/>
      <c r="AF62" s="18"/>
      <c r="AG62" s="18"/>
      <c r="AH62" s="18"/>
      <c r="AI62" s="18"/>
      <c r="AJ62" s="18"/>
      <c r="AK62" s="18"/>
      <c r="AL62" s="18"/>
      <c r="AM62" s="18"/>
      <c r="AN62" s="18">
        <v>1</v>
      </c>
      <c r="AO62" s="18"/>
      <c r="AP62" s="18"/>
      <c r="AQ62" s="18"/>
      <c r="AR62" s="18"/>
      <c r="AS62" s="18"/>
      <c r="AT62" s="18"/>
      <c r="AU62" s="18"/>
      <c r="AV62" s="18"/>
      <c r="AW62" s="18"/>
      <c r="AX62" s="18"/>
      <c r="AY62" s="8">
        <v>0.47770000000000001</v>
      </c>
      <c r="AZ62" s="8">
        <v>9.9999999999999995E-8</v>
      </c>
      <c r="BB62" s="173"/>
    </row>
    <row r="63" spans="1:54">
      <c r="A63" s="173" t="s">
        <v>26</v>
      </c>
      <c r="B63" s="29" t="s">
        <v>223</v>
      </c>
      <c r="C63" s="29" t="s">
        <v>115</v>
      </c>
      <c r="D63" s="29"/>
      <c r="E63" s="29" t="s">
        <v>102</v>
      </c>
      <c r="F63" s="173" t="s">
        <v>141</v>
      </c>
      <c r="G63" s="173"/>
      <c r="H63" s="173">
        <v>1</v>
      </c>
      <c r="I63" s="173" t="s">
        <v>30</v>
      </c>
      <c r="J63" s="173">
        <v>19.62962962962963</v>
      </c>
      <c r="K63" s="173"/>
      <c r="L63" s="173">
        <v>343</v>
      </c>
      <c r="M63" s="173">
        <v>287</v>
      </c>
      <c r="N63" s="173"/>
      <c r="O63" s="173"/>
      <c r="P63" s="173">
        <v>5</v>
      </c>
      <c r="Q63" s="173" t="s">
        <v>1103</v>
      </c>
      <c r="R63" s="173"/>
      <c r="S63" s="173"/>
      <c r="T63" s="173"/>
      <c r="U63" s="173"/>
      <c r="V63" s="173"/>
      <c r="W63" s="173"/>
      <c r="X63" s="173"/>
      <c r="Y63" s="173"/>
      <c r="Z63" s="173"/>
      <c r="AA63" s="173"/>
      <c r="AB63" s="173"/>
      <c r="AC63" s="18"/>
      <c r="AD63" s="18"/>
      <c r="AE63" s="18"/>
      <c r="AF63" s="18"/>
      <c r="AG63" s="18"/>
      <c r="AH63" s="18"/>
      <c r="AI63" s="18"/>
      <c r="AJ63" s="18"/>
      <c r="AK63" s="18"/>
      <c r="AL63" s="18"/>
      <c r="AM63" s="18"/>
      <c r="AN63" s="18">
        <v>1</v>
      </c>
      <c r="AO63" s="18"/>
      <c r="AP63" s="18"/>
      <c r="AQ63" s="18"/>
      <c r="AR63" s="18"/>
      <c r="AS63" s="18"/>
      <c r="AT63" s="18"/>
      <c r="AU63" s="18"/>
      <c r="AV63" s="18"/>
      <c r="AW63" s="18"/>
      <c r="AX63" s="18"/>
      <c r="AY63" s="8">
        <v>0.47770000000000001</v>
      </c>
      <c r="AZ63" s="8">
        <v>9.9999999999999995E-8</v>
      </c>
      <c r="BB63" s="173"/>
    </row>
    <row r="64" spans="1:54">
      <c r="A64" s="173" t="s">
        <v>26</v>
      </c>
      <c r="B64" s="29" t="s">
        <v>224</v>
      </c>
      <c r="C64" s="29" t="s">
        <v>116</v>
      </c>
      <c r="D64" s="29"/>
      <c r="E64" s="29" t="s">
        <v>102</v>
      </c>
      <c r="F64" s="173" t="s">
        <v>141</v>
      </c>
      <c r="G64" s="173"/>
      <c r="H64" s="173">
        <v>1</v>
      </c>
      <c r="I64" s="173" t="s">
        <v>30</v>
      </c>
      <c r="J64" s="173">
        <v>18.928571428571427</v>
      </c>
      <c r="K64" s="173"/>
      <c r="L64" s="173">
        <v>371</v>
      </c>
      <c r="M64" s="173">
        <v>302</v>
      </c>
      <c r="N64" s="173"/>
      <c r="O64" s="173"/>
      <c r="P64" s="173">
        <v>5</v>
      </c>
      <c r="Q64" s="173" t="s">
        <v>1103</v>
      </c>
      <c r="R64" s="173"/>
      <c r="S64" s="173"/>
      <c r="T64" s="173"/>
      <c r="U64" s="173"/>
      <c r="V64" s="173"/>
      <c r="W64" s="173"/>
      <c r="X64" s="173"/>
      <c r="Y64" s="173"/>
      <c r="Z64" s="173"/>
      <c r="AA64" s="173"/>
      <c r="AB64" s="173"/>
      <c r="AC64" s="18"/>
      <c r="AD64" s="18"/>
      <c r="AE64" s="18"/>
      <c r="AF64" s="18"/>
      <c r="AG64" s="18"/>
      <c r="AH64" s="18"/>
      <c r="AI64" s="18"/>
      <c r="AJ64" s="18"/>
      <c r="AK64" s="18"/>
      <c r="AL64" s="18"/>
      <c r="AM64" s="18"/>
      <c r="AN64" s="18">
        <v>1</v>
      </c>
      <c r="AO64" s="18"/>
      <c r="AP64" s="18"/>
      <c r="AQ64" s="18"/>
      <c r="AR64" s="18"/>
      <c r="AS64" s="18"/>
      <c r="AT64" s="18"/>
      <c r="AU64" s="18"/>
      <c r="AV64" s="18"/>
      <c r="AW64" s="18"/>
      <c r="AX64" s="18"/>
      <c r="AY64" s="8">
        <v>0.47770000000000001</v>
      </c>
      <c r="AZ64" s="8">
        <v>9.9999999999999995E-8</v>
      </c>
      <c r="BB64" s="173"/>
    </row>
    <row r="65" spans="1:54">
      <c r="A65" s="173" t="s">
        <v>26</v>
      </c>
      <c r="B65" s="29" t="s">
        <v>225</v>
      </c>
      <c r="C65" s="29" t="s">
        <v>117</v>
      </c>
      <c r="D65" s="29"/>
      <c r="E65" s="29" t="s">
        <v>102</v>
      </c>
      <c r="F65" s="173" t="s">
        <v>141</v>
      </c>
      <c r="G65" s="173"/>
      <c r="H65" s="173">
        <v>1</v>
      </c>
      <c r="I65" s="173" t="s">
        <v>30</v>
      </c>
      <c r="J65" s="173">
        <v>19.62962962962963</v>
      </c>
      <c r="K65" s="173"/>
      <c r="L65" s="173">
        <v>384</v>
      </c>
      <c r="M65" s="173">
        <v>277</v>
      </c>
      <c r="N65" s="173"/>
      <c r="O65" s="173"/>
      <c r="P65" s="173">
        <v>5</v>
      </c>
      <c r="Q65" s="173" t="s">
        <v>1103</v>
      </c>
      <c r="R65" s="173"/>
      <c r="S65" s="173"/>
      <c r="T65" s="173"/>
      <c r="U65" s="173"/>
      <c r="V65" s="173"/>
      <c r="W65" s="173"/>
      <c r="X65" s="173"/>
      <c r="Y65" s="173"/>
      <c r="Z65" s="173"/>
      <c r="AA65" s="173"/>
      <c r="AB65" s="173"/>
      <c r="AC65" s="18"/>
      <c r="AD65" s="18"/>
      <c r="AE65" s="18"/>
      <c r="AF65" s="18"/>
      <c r="AG65" s="18"/>
      <c r="AH65" s="18"/>
      <c r="AI65" s="18"/>
      <c r="AJ65" s="18"/>
      <c r="AK65" s="18"/>
      <c r="AL65" s="18"/>
      <c r="AM65" s="18"/>
      <c r="AN65" s="18">
        <v>1</v>
      </c>
      <c r="AO65" s="18"/>
      <c r="AP65" s="18"/>
      <c r="AQ65" s="18"/>
      <c r="AR65" s="18"/>
      <c r="AS65" s="18"/>
      <c r="AT65" s="18"/>
      <c r="AU65" s="18"/>
      <c r="AV65" s="18"/>
      <c r="AW65" s="18"/>
      <c r="AX65" s="18"/>
      <c r="AY65" s="8">
        <v>0.47770000000000001</v>
      </c>
      <c r="AZ65" s="8">
        <v>9.9999999999999995E-8</v>
      </c>
      <c r="BB65" s="173"/>
    </row>
    <row r="66" spans="1:54">
      <c r="A66" s="173" t="s">
        <v>26</v>
      </c>
      <c r="B66" s="29" t="s">
        <v>226</v>
      </c>
      <c r="C66" s="29" t="s">
        <v>118</v>
      </c>
      <c r="D66" s="29"/>
      <c r="E66" s="29" t="s">
        <v>102</v>
      </c>
      <c r="F66" s="173" t="s">
        <v>141</v>
      </c>
      <c r="G66" s="173"/>
      <c r="H66" s="173">
        <v>1</v>
      </c>
      <c r="I66" s="173" t="s">
        <v>30</v>
      </c>
      <c r="J66" s="173">
        <v>19.62962962962963</v>
      </c>
      <c r="K66" s="173"/>
      <c r="L66" s="173">
        <v>389</v>
      </c>
      <c r="M66" s="173">
        <v>269</v>
      </c>
      <c r="N66" s="173"/>
      <c r="O66" s="173"/>
      <c r="P66" s="173">
        <v>5</v>
      </c>
      <c r="Q66" s="173" t="s">
        <v>1103</v>
      </c>
      <c r="R66" s="173"/>
      <c r="S66" s="173"/>
      <c r="T66" s="173"/>
      <c r="U66" s="173"/>
      <c r="V66" s="173"/>
      <c r="W66" s="173"/>
      <c r="X66" s="173"/>
      <c r="Y66" s="173"/>
      <c r="Z66" s="173"/>
      <c r="AA66" s="173"/>
      <c r="AB66" s="173"/>
      <c r="AC66" s="18"/>
      <c r="AD66" s="18"/>
      <c r="AE66" s="18"/>
      <c r="AF66" s="18"/>
      <c r="AG66" s="18"/>
      <c r="AH66" s="18"/>
      <c r="AI66" s="18"/>
      <c r="AJ66" s="18"/>
      <c r="AK66" s="18"/>
      <c r="AL66" s="18"/>
      <c r="AM66" s="18"/>
      <c r="AN66" s="18">
        <v>1</v>
      </c>
      <c r="AO66" s="18"/>
      <c r="AP66" s="18"/>
      <c r="AQ66" s="18"/>
      <c r="AR66" s="18"/>
      <c r="AS66" s="18"/>
      <c r="AT66" s="18"/>
      <c r="AU66" s="18"/>
      <c r="AV66" s="18"/>
      <c r="AW66" s="18"/>
      <c r="AX66" s="18"/>
      <c r="AY66" s="8">
        <v>0.47770000000000001</v>
      </c>
      <c r="AZ66" s="8">
        <v>9.9999999999999995E-8</v>
      </c>
      <c r="BB66" s="173"/>
    </row>
    <row r="67" spans="1:54">
      <c r="A67" s="173" t="s">
        <v>26</v>
      </c>
      <c r="B67" s="29" t="s">
        <v>227</v>
      </c>
      <c r="C67" s="29" t="s">
        <v>119</v>
      </c>
      <c r="D67" s="29"/>
      <c r="E67" s="29" t="s">
        <v>102</v>
      </c>
      <c r="F67" s="173" t="s">
        <v>141</v>
      </c>
      <c r="G67" s="173"/>
      <c r="H67" s="173">
        <v>1</v>
      </c>
      <c r="I67" s="173" t="s">
        <v>30</v>
      </c>
      <c r="J67" s="173">
        <v>19.62962962962963</v>
      </c>
      <c r="K67" s="173"/>
      <c r="L67" s="173">
        <v>416</v>
      </c>
      <c r="M67" s="173">
        <v>294</v>
      </c>
      <c r="N67" s="173"/>
      <c r="O67" s="173"/>
      <c r="P67" s="173">
        <v>5</v>
      </c>
      <c r="Q67" s="173" t="s">
        <v>1103</v>
      </c>
      <c r="R67" s="173"/>
      <c r="S67" s="173"/>
      <c r="T67" s="173"/>
      <c r="U67" s="173"/>
      <c r="V67" s="173"/>
      <c r="W67" s="173"/>
      <c r="X67" s="173"/>
      <c r="Y67" s="173"/>
      <c r="Z67" s="173"/>
      <c r="AA67" s="173"/>
      <c r="AB67" s="173"/>
      <c r="AC67" s="18"/>
      <c r="AD67" s="18"/>
      <c r="AE67" s="18"/>
      <c r="AF67" s="18"/>
      <c r="AG67" s="18"/>
      <c r="AH67" s="18"/>
      <c r="AI67" s="18"/>
      <c r="AJ67" s="18"/>
      <c r="AK67" s="18"/>
      <c r="AL67" s="18"/>
      <c r="AM67" s="18"/>
      <c r="AN67" s="18">
        <v>1</v>
      </c>
      <c r="AO67" s="18"/>
      <c r="AP67" s="18"/>
      <c r="AQ67" s="18"/>
      <c r="AR67" s="18"/>
      <c r="AS67" s="18"/>
      <c r="AT67" s="18"/>
      <c r="AU67" s="18"/>
      <c r="AV67" s="18"/>
      <c r="AW67" s="18"/>
      <c r="AX67" s="18"/>
      <c r="AY67" s="8">
        <v>0.47770000000000001</v>
      </c>
      <c r="AZ67" s="8">
        <v>9.9999999999999995E-8</v>
      </c>
      <c r="BB67" s="173"/>
    </row>
    <row r="68" spans="1:54">
      <c r="A68" s="173" t="s">
        <v>26</v>
      </c>
      <c r="B68" s="29" t="s">
        <v>228</v>
      </c>
      <c r="C68" s="29" t="s">
        <v>120</v>
      </c>
      <c r="D68" s="29"/>
      <c r="E68" s="29" t="s">
        <v>102</v>
      </c>
      <c r="F68" s="173" t="s">
        <v>141</v>
      </c>
      <c r="G68" s="173"/>
      <c r="H68" s="173">
        <v>1</v>
      </c>
      <c r="I68" s="173" t="s">
        <v>30</v>
      </c>
      <c r="J68" s="173">
        <v>20</v>
      </c>
      <c r="K68" s="173"/>
      <c r="L68" s="173">
        <v>439</v>
      </c>
      <c r="M68" s="173">
        <v>306</v>
      </c>
      <c r="N68" s="173"/>
      <c r="O68" s="173"/>
      <c r="P68" s="173">
        <v>5</v>
      </c>
      <c r="Q68" s="173" t="s">
        <v>1103</v>
      </c>
      <c r="R68" s="173"/>
      <c r="S68" s="173"/>
      <c r="T68" s="173"/>
      <c r="U68" s="173"/>
      <c r="V68" s="173"/>
      <c r="W68" s="173"/>
      <c r="X68" s="173"/>
      <c r="Y68" s="173"/>
      <c r="Z68" s="173"/>
      <c r="AA68" s="173"/>
      <c r="AB68" s="173"/>
      <c r="AC68" s="18"/>
      <c r="AD68" s="18"/>
      <c r="AE68" s="18"/>
      <c r="AF68" s="18"/>
      <c r="AG68" s="18"/>
      <c r="AH68" s="18"/>
      <c r="AI68" s="18"/>
      <c r="AJ68" s="18"/>
      <c r="AK68" s="18"/>
      <c r="AL68" s="18"/>
      <c r="AM68" s="18"/>
      <c r="AN68" s="18">
        <v>1</v>
      </c>
      <c r="AO68" s="18"/>
      <c r="AP68" s="18"/>
      <c r="AQ68" s="18"/>
      <c r="AR68" s="18"/>
      <c r="AS68" s="18"/>
      <c r="AT68" s="18"/>
      <c r="AU68" s="18"/>
      <c r="AV68" s="18"/>
      <c r="AW68" s="18"/>
      <c r="AX68" s="18"/>
      <c r="AY68" s="8">
        <v>0.47770000000000001</v>
      </c>
      <c r="AZ68" s="8">
        <v>9.9999999999999995E-8</v>
      </c>
      <c r="BB68" s="173"/>
    </row>
    <row r="69" spans="1:54">
      <c r="A69" s="173" t="s">
        <v>26</v>
      </c>
      <c r="B69" s="29" t="s">
        <v>229</v>
      </c>
      <c r="C69" s="29" t="s">
        <v>121</v>
      </c>
      <c r="D69" s="29"/>
      <c r="E69" s="29" t="s">
        <v>102</v>
      </c>
      <c r="F69" s="173" t="s">
        <v>141</v>
      </c>
      <c r="G69" s="173"/>
      <c r="H69" s="173">
        <v>1</v>
      </c>
      <c r="I69" s="173" t="s">
        <v>30</v>
      </c>
      <c r="J69" s="173">
        <v>20.384615384615383</v>
      </c>
      <c r="K69" s="173"/>
      <c r="L69" s="173">
        <v>423</v>
      </c>
      <c r="M69" s="173">
        <v>297</v>
      </c>
      <c r="N69" s="173"/>
      <c r="O69" s="173"/>
      <c r="P69" s="173">
        <v>5</v>
      </c>
      <c r="Q69" s="173" t="s">
        <v>1103</v>
      </c>
      <c r="R69" s="173"/>
      <c r="S69" s="173"/>
      <c r="T69" s="173"/>
      <c r="U69" s="173"/>
      <c r="V69" s="173"/>
      <c r="W69" s="173"/>
      <c r="X69" s="173"/>
      <c r="Y69" s="173"/>
      <c r="Z69" s="173"/>
      <c r="AA69" s="173"/>
      <c r="AB69" s="173"/>
      <c r="AC69" s="18"/>
      <c r="AD69" s="18"/>
      <c r="AE69" s="18"/>
      <c r="AF69" s="18"/>
      <c r="AG69" s="18"/>
      <c r="AH69" s="18"/>
      <c r="AI69" s="18"/>
      <c r="AJ69" s="18"/>
      <c r="AK69" s="18"/>
      <c r="AL69" s="18"/>
      <c r="AM69" s="18"/>
      <c r="AN69" s="18">
        <v>1</v>
      </c>
      <c r="AO69" s="18"/>
      <c r="AP69" s="18"/>
      <c r="AQ69" s="18"/>
      <c r="AR69" s="18"/>
      <c r="AS69" s="18"/>
      <c r="AT69" s="18"/>
      <c r="AU69" s="18"/>
      <c r="AV69" s="18"/>
      <c r="AW69" s="18"/>
      <c r="AX69" s="18"/>
      <c r="AY69" s="8">
        <v>0.47770000000000001</v>
      </c>
      <c r="AZ69" s="8">
        <v>9.9999999999999995E-8</v>
      </c>
      <c r="BB69" s="173"/>
    </row>
    <row r="70" spans="1:54">
      <c r="A70" s="39" t="s">
        <v>26</v>
      </c>
      <c r="B70" s="27" t="s">
        <v>230</v>
      </c>
      <c r="C70" s="27" t="s">
        <v>122</v>
      </c>
      <c r="D70" s="27"/>
      <c r="E70" s="27" t="s">
        <v>285</v>
      </c>
      <c r="F70" s="39" t="s">
        <v>141</v>
      </c>
      <c r="G70" s="39" t="s">
        <v>168</v>
      </c>
      <c r="H70" s="39">
        <v>2</v>
      </c>
      <c r="I70" s="39" t="s">
        <v>38</v>
      </c>
      <c r="J70" s="39">
        <v>4.16</v>
      </c>
      <c r="K70" s="39"/>
      <c r="L70" s="39">
        <v>698</v>
      </c>
      <c r="M70" s="39">
        <v>548</v>
      </c>
      <c r="N70" s="39"/>
      <c r="O70" s="39"/>
      <c r="P70" s="39">
        <v>1</v>
      </c>
      <c r="Q70" s="173" t="s">
        <v>1103</v>
      </c>
      <c r="R70" s="39"/>
      <c r="S70" s="39"/>
      <c r="T70" s="39"/>
      <c r="U70" s="39"/>
      <c r="V70" s="39"/>
      <c r="W70" s="39"/>
      <c r="X70" s="39"/>
      <c r="Y70" s="39"/>
      <c r="Z70" s="39"/>
      <c r="AA70" s="39"/>
      <c r="AB70" s="39"/>
      <c r="AC70" s="39"/>
      <c r="AD70" s="39">
        <v>1</v>
      </c>
      <c r="AE70" s="39">
        <v>1</v>
      </c>
      <c r="AF70" s="39">
        <v>0</v>
      </c>
      <c r="AG70" s="39">
        <v>43</v>
      </c>
      <c r="AH70" s="10"/>
      <c r="AI70" s="10"/>
      <c r="AJ70" s="10"/>
      <c r="AK70" s="10"/>
      <c r="AL70" s="10"/>
      <c r="AM70" s="10"/>
      <c r="AN70" s="10">
        <v>1</v>
      </c>
      <c r="AO70" s="10">
        <v>1</v>
      </c>
      <c r="AP70" s="10"/>
      <c r="AQ70" s="10"/>
      <c r="AR70" s="10"/>
      <c r="AS70" s="10"/>
      <c r="AT70" s="10"/>
      <c r="AU70" s="10"/>
      <c r="AV70" s="10"/>
      <c r="AW70" s="10"/>
      <c r="AX70" s="10"/>
      <c r="AY70" s="8">
        <v>0.47770000000000001</v>
      </c>
      <c r="AZ70" s="8">
        <v>9.9999999999999995E-8</v>
      </c>
      <c r="BB70" s="39"/>
    </row>
    <row r="71" spans="1:54">
      <c r="A71" s="173" t="s">
        <v>26</v>
      </c>
      <c r="B71" s="29" t="s">
        <v>103</v>
      </c>
      <c r="C71" s="29" t="s">
        <v>171</v>
      </c>
      <c r="D71" s="29"/>
      <c r="E71" s="29"/>
      <c r="F71" s="18"/>
      <c r="G71" s="18"/>
      <c r="H71" s="18"/>
      <c r="I71" s="173" t="s">
        <v>30</v>
      </c>
      <c r="J71" s="173">
        <v>17.86</v>
      </c>
      <c r="K71" s="173"/>
      <c r="L71" s="173">
        <v>360</v>
      </c>
      <c r="M71" s="173">
        <v>292</v>
      </c>
      <c r="N71" s="173"/>
      <c r="O71" s="173"/>
      <c r="P71" s="173">
        <v>5</v>
      </c>
      <c r="Q71" s="173" t="s">
        <v>1103</v>
      </c>
      <c r="R71" s="18"/>
      <c r="S71" s="18"/>
      <c r="T71" s="18"/>
      <c r="U71" s="18"/>
      <c r="V71" s="18"/>
      <c r="W71" s="18"/>
      <c r="X71" s="173"/>
      <c r="Y71" s="173"/>
      <c r="Z71" s="173"/>
      <c r="AA71" s="173"/>
      <c r="AB71" s="173"/>
      <c r="AC71" s="18"/>
      <c r="AD71" s="18"/>
      <c r="AE71" s="18"/>
      <c r="AF71" s="18"/>
      <c r="AG71" s="18"/>
      <c r="AH71" s="18"/>
      <c r="AI71" s="18"/>
      <c r="AJ71" s="18"/>
      <c r="AK71" s="18"/>
      <c r="AL71" s="18"/>
      <c r="AM71" s="18"/>
      <c r="AN71" s="18"/>
      <c r="AO71" s="18"/>
      <c r="AP71" s="18"/>
      <c r="AQ71" s="18"/>
      <c r="AR71" s="18"/>
      <c r="AS71" s="18"/>
      <c r="AT71" s="18"/>
      <c r="AU71" s="18"/>
      <c r="AV71" s="18"/>
      <c r="AW71" s="18"/>
      <c r="AX71" s="18"/>
      <c r="AY71" s="8">
        <v>0.47770000000000001</v>
      </c>
      <c r="AZ71" s="8">
        <v>9.9999999999999995E-8</v>
      </c>
      <c r="BB71" s="18"/>
    </row>
    <row r="72" spans="1:54">
      <c r="A72" s="39" t="s">
        <v>26</v>
      </c>
      <c r="B72" s="27" t="s">
        <v>104</v>
      </c>
      <c r="C72" s="27" t="s">
        <v>172</v>
      </c>
      <c r="D72" s="27"/>
      <c r="E72" s="27"/>
      <c r="F72" s="10"/>
      <c r="G72" s="10"/>
      <c r="H72" s="10"/>
      <c r="I72" s="39" t="s">
        <v>38</v>
      </c>
      <c r="J72" s="39">
        <v>17.86</v>
      </c>
      <c r="K72" s="39"/>
      <c r="L72" s="39">
        <v>360</v>
      </c>
      <c r="M72" s="39">
        <v>292</v>
      </c>
      <c r="N72" s="39"/>
      <c r="O72" s="39"/>
      <c r="P72" s="39">
        <v>5</v>
      </c>
      <c r="Q72" s="173" t="s">
        <v>1103</v>
      </c>
      <c r="R72" s="10"/>
      <c r="S72" s="10"/>
      <c r="T72" s="10"/>
      <c r="U72" s="10"/>
      <c r="V72" s="10"/>
      <c r="W72" s="10"/>
      <c r="X72" s="39"/>
      <c r="Y72" s="39"/>
      <c r="Z72" s="39"/>
      <c r="AA72" s="39"/>
      <c r="AB72" s="39"/>
      <c r="AC72" s="10"/>
      <c r="AD72" s="10"/>
      <c r="AE72" s="10"/>
      <c r="AF72" s="10"/>
      <c r="AG72" s="10"/>
      <c r="AH72" s="10"/>
      <c r="AI72" s="10"/>
      <c r="AJ72" s="10"/>
      <c r="AK72" s="10"/>
      <c r="AL72" s="10"/>
      <c r="AM72" s="10"/>
      <c r="AN72" s="10"/>
      <c r="AO72" s="10"/>
      <c r="AP72" s="10"/>
      <c r="AQ72" s="10"/>
      <c r="AR72" s="10"/>
      <c r="AS72" s="10"/>
      <c r="AT72" s="10"/>
      <c r="AU72" s="10"/>
      <c r="AV72" s="10"/>
      <c r="AW72" s="10"/>
      <c r="AX72" s="10"/>
      <c r="AY72" s="8">
        <v>0.47770000000000001</v>
      </c>
      <c r="AZ72" s="8">
        <v>9.9999999999999995E-8</v>
      </c>
      <c r="BB72" s="10"/>
    </row>
    <row r="73" spans="1:54">
      <c r="A73" s="39" t="s">
        <v>26</v>
      </c>
      <c r="B73" s="27" t="s">
        <v>811</v>
      </c>
      <c r="C73" s="27" t="s">
        <v>811</v>
      </c>
      <c r="I73" s="8" t="s">
        <v>810</v>
      </c>
      <c r="J73" s="39">
        <v>17.86</v>
      </c>
      <c r="K73" s="39"/>
      <c r="L73" s="39">
        <v>360</v>
      </c>
      <c r="M73" s="39">
        <v>292</v>
      </c>
      <c r="P73" s="173">
        <v>5</v>
      </c>
      <c r="Q73" s="173" t="s">
        <v>1103</v>
      </c>
      <c r="AY73" s="8">
        <v>0.47770000000000001</v>
      </c>
      <c r="AZ73" s="8">
        <v>9.9999999999999995E-8</v>
      </c>
    </row>
    <row r="78" spans="1:54">
      <c r="C78" s="34"/>
    </row>
    <row r="79" spans="1:54">
      <c r="C79" s="141"/>
    </row>
    <row r="80" spans="1:54">
      <c r="C80" s="141"/>
    </row>
    <row r="81" spans="3:3">
      <c r="C81" s="141"/>
    </row>
    <row r="82" spans="3:3">
      <c r="C82" s="141"/>
    </row>
    <row r="83" spans="3:3">
      <c r="C83" s="34"/>
    </row>
    <row r="84" spans="3:3">
      <c r="C84" s="27"/>
    </row>
    <row r="85" spans="3:3">
      <c r="C85" s="141"/>
    </row>
    <row r="86" spans="3:3">
      <c r="C86" s="141"/>
    </row>
    <row r="87" spans="3:3">
      <c r="C87" s="27"/>
    </row>
  </sheetData>
  <autoFilter ref="A1:CD73" xr:uid="{00000000-0009-0000-0000-000001000000}"/>
  <phoneticPr fontId="4"/>
  <conditionalFormatting sqref="B32 D32:E32 A96:J65564 H32:J32 D39:H39 AJ16:AM16 AF16:AH16 AF50:AH51 AF2:AH12 AJ9:AM12 AJ72:AQ72 X52:AH72 AJ50:AM71 AN52:AP71 L96:XFD65564 L2:Q2 AJ32:AR32 D40:I40 X34:AE51 AN34:AR51 AT34:AX51 BC34:IW51 BB34:BB72 AF34:AH43 AJ34:AM43 H34:J37 D34:E38 A34:B40 L34:P72 A31:E31 A41:J41 G31:H31 A55:J72 J42 J29:J31 H38 J38:J39 A43:J51 J52:J54 A52:H54 A29:H30 A42:H42 R34:W72 R32:AH32 S3:T3 S2 W2:AE8 W27:AE27 AJ19:AM26 AF19:AH26 A2:J28 R9:AE26 BB2:IW32 R28:AE31 AN2:AR31 L3:P32 AT2:AX32 Q3:Q73 K2:K32">
    <cfRule type="expression" dxfId="695" priority="100" stopIfTrue="1">
      <formula>MOD(ROW(),2) = 1</formula>
    </cfRule>
  </conditionalFormatting>
  <conditionalFormatting sqref="C83:C87">
    <cfRule type="expression" dxfId="694" priority="99" stopIfTrue="1">
      <formula>MOD(ROW(),2) = 1</formula>
    </cfRule>
  </conditionalFormatting>
  <conditionalFormatting sqref="C38:C40">
    <cfRule type="expression" dxfId="693" priority="98" stopIfTrue="1">
      <formula>MOD(ROW(),2) = 1</formula>
    </cfRule>
  </conditionalFormatting>
  <conditionalFormatting sqref="C78:C82">
    <cfRule type="expression" dxfId="692" priority="97" stopIfTrue="1">
      <formula>MOD(ROW(),2) = 1</formula>
    </cfRule>
  </conditionalFormatting>
  <conditionalFormatting sqref="C32 C34:C36">
    <cfRule type="expression" dxfId="691" priority="96" stopIfTrue="1">
      <formula>MOD(ROW(),2) = 1</formula>
    </cfRule>
  </conditionalFormatting>
  <conditionalFormatting sqref="C37">
    <cfRule type="expression" dxfId="690" priority="95" stopIfTrue="1">
      <formula>MOD(ROW(),2) = 1</formula>
    </cfRule>
  </conditionalFormatting>
  <conditionalFormatting sqref="F32:G32 F34:G38">
    <cfRule type="expression" dxfId="689" priority="92" stopIfTrue="1">
      <formula>MOD(ROW(),2) = 1</formula>
    </cfRule>
  </conditionalFormatting>
  <conditionalFormatting sqref="K96:K750">
    <cfRule type="expression" dxfId="688" priority="91" stopIfTrue="1">
      <formula>MOD(ROW(),2) = 1</formula>
    </cfRule>
  </conditionalFormatting>
  <conditionalFormatting sqref="BC1:IW1">
    <cfRule type="expression" dxfId="687" priority="90" stopIfTrue="1">
      <formula>MOD(ROW(),2) = 1</formula>
    </cfRule>
  </conditionalFormatting>
  <conditionalFormatting sqref="A33:B33 D33:E33 H33:J33 AT33:AX33 AJ33:AR33 L33:P33 R33:AH33 BB33:IW33">
    <cfRule type="expression" dxfId="686" priority="70" stopIfTrue="1">
      <formula>MOD(ROW(),2) = 1</formula>
    </cfRule>
  </conditionalFormatting>
  <conditionalFormatting sqref="C33">
    <cfRule type="expression" dxfId="685" priority="69" stopIfTrue="1">
      <formula>MOD(ROW(),2) = 1</formula>
    </cfRule>
  </conditionalFormatting>
  <conditionalFormatting sqref="F33:G33">
    <cfRule type="expression" dxfId="684" priority="68" stopIfTrue="1">
      <formula>MOD(ROW(),2) = 1</formula>
    </cfRule>
  </conditionalFormatting>
  <conditionalFormatting sqref="A32">
    <cfRule type="expression" dxfId="683" priority="67" stopIfTrue="1">
      <formula>MOD(ROW(),2) = 1</formula>
    </cfRule>
  </conditionalFormatting>
  <conditionalFormatting sqref="A73:B73">
    <cfRule type="expression" dxfId="682" priority="66" stopIfTrue="1">
      <formula>MOD(ROW(),2) = 1</formula>
    </cfRule>
  </conditionalFormatting>
  <conditionalFormatting sqref="J73 L73:M73">
    <cfRule type="expression" dxfId="681" priority="65" stopIfTrue="1">
      <formula>MOD(ROW(),2) = 1</formula>
    </cfRule>
  </conditionalFormatting>
  <conditionalFormatting sqref="P73">
    <cfRule type="expression" dxfId="680" priority="64" stopIfTrue="1">
      <formula>MOD(ROW(),2) = 1</formula>
    </cfRule>
  </conditionalFormatting>
  <conditionalFormatting sqref="C73">
    <cfRule type="expression" dxfId="679" priority="63" stopIfTrue="1">
      <formula>MOD(ROW(),2) = 1</formula>
    </cfRule>
  </conditionalFormatting>
  <conditionalFormatting sqref="I31">
    <cfRule type="expression" dxfId="678" priority="62" stopIfTrue="1">
      <formula>MOD(ROW(),2) = 1</formula>
    </cfRule>
  </conditionalFormatting>
  <conditionalFormatting sqref="F31">
    <cfRule type="expression" dxfId="677" priority="61" stopIfTrue="1">
      <formula>MOD(ROW(),2) = 1</formula>
    </cfRule>
  </conditionalFormatting>
  <conditionalFormatting sqref="K34:K39 K41:K72">
    <cfRule type="expression" dxfId="676" priority="60" stopIfTrue="1">
      <formula>MOD(ROW(),2) = 1</formula>
    </cfRule>
  </conditionalFormatting>
  <conditionalFormatting sqref="K33">
    <cfRule type="expression" dxfId="675" priority="58" stopIfTrue="1">
      <formula>MOD(ROW(),2) = 1</formula>
    </cfRule>
  </conditionalFormatting>
  <conditionalFormatting sqref="K73">
    <cfRule type="expression" dxfId="674" priority="57" stopIfTrue="1">
      <formula>MOD(ROW(),2) = 1</formula>
    </cfRule>
  </conditionalFormatting>
  <conditionalFormatting sqref="I30">
    <cfRule type="expression" dxfId="673" priority="56" stopIfTrue="1">
      <formula>MOD(ROW(),2) = 1</formula>
    </cfRule>
  </conditionalFormatting>
  <conditionalFormatting sqref="I53">
    <cfRule type="expression" dxfId="672" priority="55" stopIfTrue="1">
      <formula>MOD(ROW(),2) = 1</formula>
    </cfRule>
  </conditionalFormatting>
  <conditionalFormatting sqref="I42">
    <cfRule type="expression" dxfId="671" priority="54" stopIfTrue="1">
      <formula>MOD(ROW(),2) = 1</formula>
    </cfRule>
  </conditionalFormatting>
  <conditionalFormatting sqref="I29">
    <cfRule type="expression" dxfId="670" priority="53" stopIfTrue="1">
      <formula>MOD(ROW(),2) = 1</formula>
    </cfRule>
  </conditionalFormatting>
  <conditionalFormatting sqref="I38">
    <cfRule type="expression" dxfId="669" priority="52" stopIfTrue="1">
      <formula>MOD(ROW(),2) = 1</formula>
    </cfRule>
  </conditionalFormatting>
  <conditionalFormatting sqref="I39">
    <cfRule type="expression" dxfId="668" priority="51" stopIfTrue="1">
      <formula>MOD(ROW(),2) = 1</formula>
    </cfRule>
  </conditionalFormatting>
  <conditionalFormatting sqref="I52">
    <cfRule type="expression" dxfId="667" priority="50" stopIfTrue="1">
      <formula>MOD(ROW(),2) = 1</formula>
    </cfRule>
  </conditionalFormatting>
  <conditionalFormatting sqref="I54">
    <cfRule type="expression" dxfId="666" priority="49" stopIfTrue="1">
      <formula>MOD(ROW(),2) = 1</formula>
    </cfRule>
  </conditionalFormatting>
  <conditionalFormatting sqref="AJ2:AK2">
    <cfRule type="expression" dxfId="665" priority="48" stopIfTrue="1">
      <formula>MOD(ROW(),2) = 1</formula>
    </cfRule>
  </conditionalFormatting>
  <conditionalFormatting sqref="AL2">
    <cfRule type="expression" dxfId="664" priority="47" stopIfTrue="1">
      <formula>MOD(ROW(),2) = 1</formula>
    </cfRule>
  </conditionalFormatting>
  <conditionalFormatting sqref="AM2">
    <cfRule type="expression" dxfId="663" priority="46" stopIfTrue="1">
      <formula>MOD(ROW(),2) = 1</formula>
    </cfRule>
  </conditionalFormatting>
  <conditionalFormatting sqref="AJ3:AK3">
    <cfRule type="expression" dxfId="662" priority="45" stopIfTrue="1">
      <formula>MOD(ROW(),2) = 1</formula>
    </cfRule>
  </conditionalFormatting>
  <conditionalFormatting sqref="AL3">
    <cfRule type="expression" dxfId="661" priority="44" stopIfTrue="1">
      <formula>MOD(ROW(),2) = 1</formula>
    </cfRule>
  </conditionalFormatting>
  <conditionalFormatting sqref="AM3">
    <cfRule type="expression" dxfId="660" priority="43" stopIfTrue="1">
      <formula>MOD(ROW(),2) = 1</formula>
    </cfRule>
  </conditionalFormatting>
  <conditionalFormatting sqref="R2">
    <cfRule type="expression" dxfId="659" priority="42" stopIfTrue="1">
      <formula>MOD(ROW(),2) = 1</formula>
    </cfRule>
  </conditionalFormatting>
  <conditionalFormatting sqref="R3">
    <cfRule type="expression" dxfId="658" priority="41" stopIfTrue="1">
      <formula>MOD(ROW(),2) = 1</formula>
    </cfRule>
  </conditionalFormatting>
  <conditionalFormatting sqref="T2">
    <cfRule type="expression" dxfId="657" priority="40" stopIfTrue="1">
      <formula>MOD(ROW(),2) = 1</formula>
    </cfRule>
  </conditionalFormatting>
  <conditionalFormatting sqref="V2">
    <cfRule type="expression" dxfId="656" priority="39" stopIfTrue="1">
      <formula>MOD(ROW(),2) = 1</formula>
    </cfRule>
  </conditionalFormatting>
  <conditionalFormatting sqref="V3">
    <cfRule type="expression" dxfId="655" priority="38" stopIfTrue="1">
      <formula>MOD(ROW(),2) = 1</formula>
    </cfRule>
  </conditionalFormatting>
  <conditionalFormatting sqref="AJ4:AK4">
    <cfRule type="expression" dxfId="654" priority="37" stopIfTrue="1">
      <formula>MOD(ROW(),2) = 1</formula>
    </cfRule>
  </conditionalFormatting>
  <conditionalFormatting sqref="AL4">
    <cfRule type="expression" dxfId="653" priority="36" stopIfTrue="1">
      <formula>MOD(ROW(),2) = 1</formula>
    </cfRule>
  </conditionalFormatting>
  <conditionalFormatting sqref="AM4">
    <cfRule type="expression" dxfId="652" priority="35" stopIfTrue="1">
      <formula>MOD(ROW(),2) = 1</formula>
    </cfRule>
  </conditionalFormatting>
  <conditionalFormatting sqref="AJ5:AK5">
    <cfRule type="expression" dxfId="651" priority="34" stopIfTrue="1">
      <formula>MOD(ROW(),2) = 1</formula>
    </cfRule>
  </conditionalFormatting>
  <conditionalFormatting sqref="AL5">
    <cfRule type="expression" dxfId="650" priority="33" stopIfTrue="1">
      <formula>MOD(ROW(),2) = 1</formula>
    </cfRule>
  </conditionalFormatting>
  <conditionalFormatting sqref="AM5">
    <cfRule type="expression" dxfId="649" priority="32" stopIfTrue="1">
      <formula>MOD(ROW(),2) = 1</formula>
    </cfRule>
  </conditionalFormatting>
  <conditionalFormatting sqref="AJ6:AK6">
    <cfRule type="expression" dxfId="648" priority="31" stopIfTrue="1">
      <formula>MOD(ROW(),2) = 1</formula>
    </cfRule>
  </conditionalFormatting>
  <conditionalFormatting sqref="AL6">
    <cfRule type="expression" dxfId="647" priority="30" stopIfTrue="1">
      <formula>MOD(ROW(),2) = 1</formula>
    </cfRule>
  </conditionalFormatting>
  <conditionalFormatting sqref="AM6">
    <cfRule type="expression" dxfId="646" priority="29" stopIfTrue="1">
      <formula>MOD(ROW(),2) = 1</formula>
    </cfRule>
  </conditionalFormatting>
  <conditionalFormatting sqref="AJ7:AK7">
    <cfRule type="expression" dxfId="645" priority="28" stopIfTrue="1">
      <formula>MOD(ROW(),2) = 1</formula>
    </cfRule>
  </conditionalFormatting>
  <conditionalFormatting sqref="AL7">
    <cfRule type="expression" dxfId="644" priority="27" stopIfTrue="1">
      <formula>MOD(ROW(),2) = 1</formula>
    </cfRule>
  </conditionalFormatting>
  <conditionalFormatting sqref="AM7">
    <cfRule type="expression" dxfId="643" priority="26" stopIfTrue="1">
      <formula>MOD(ROW(),2) = 1</formula>
    </cfRule>
  </conditionalFormatting>
  <conditionalFormatting sqref="AJ8:AK8">
    <cfRule type="expression" dxfId="642" priority="25" stopIfTrue="1">
      <formula>MOD(ROW(),2) = 1</formula>
    </cfRule>
  </conditionalFormatting>
  <conditionalFormatting sqref="AL8">
    <cfRule type="expression" dxfId="641" priority="24" stopIfTrue="1">
      <formula>MOD(ROW(),2) = 1</formula>
    </cfRule>
  </conditionalFormatting>
  <conditionalFormatting sqref="AM8">
    <cfRule type="expression" dxfId="640" priority="23" stopIfTrue="1">
      <formula>MOD(ROW(),2) = 1</formula>
    </cfRule>
  </conditionalFormatting>
  <conditionalFormatting sqref="S4:T4">
    <cfRule type="expression" dxfId="639" priority="22" stopIfTrue="1">
      <formula>MOD(ROW(),2) = 1</formula>
    </cfRule>
  </conditionalFormatting>
  <conditionalFormatting sqref="R4">
    <cfRule type="expression" dxfId="638" priority="21" stopIfTrue="1">
      <formula>MOD(ROW(),2) = 1</formula>
    </cfRule>
  </conditionalFormatting>
  <conditionalFormatting sqref="V4">
    <cfRule type="expression" dxfId="637" priority="20" stopIfTrue="1">
      <formula>MOD(ROW(),2) = 1</formula>
    </cfRule>
  </conditionalFormatting>
  <conditionalFormatting sqref="S5:T5">
    <cfRule type="expression" dxfId="636" priority="19" stopIfTrue="1">
      <formula>MOD(ROW(),2) = 1</formula>
    </cfRule>
  </conditionalFormatting>
  <conditionalFormatting sqref="R5">
    <cfRule type="expression" dxfId="635" priority="18" stopIfTrue="1">
      <formula>MOD(ROW(),2) = 1</formula>
    </cfRule>
  </conditionalFormatting>
  <conditionalFormatting sqref="V5">
    <cfRule type="expression" dxfId="634" priority="17" stopIfTrue="1">
      <formula>MOD(ROW(),2) = 1</formula>
    </cfRule>
  </conditionalFormatting>
  <conditionalFormatting sqref="S6:T6">
    <cfRule type="expression" dxfId="633" priority="16" stopIfTrue="1">
      <formula>MOD(ROW(),2) = 1</formula>
    </cfRule>
  </conditionalFormatting>
  <conditionalFormatting sqref="R6">
    <cfRule type="expression" dxfId="632" priority="15" stopIfTrue="1">
      <formula>MOD(ROW(),2) = 1</formula>
    </cfRule>
  </conditionalFormatting>
  <conditionalFormatting sqref="V6">
    <cfRule type="expression" dxfId="631" priority="14" stopIfTrue="1">
      <formula>MOD(ROW(),2) = 1</formula>
    </cfRule>
  </conditionalFormatting>
  <conditionalFormatting sqref="S7:T7">
    <cfRule type="expression" dxfId="630" priority="13" stopIfTrue="1">
      <formula>MOD(ROW(),2) = 1</formula>
    </cfRule>
  </conditionalFormatting>
  <conditionalFormatting sqref="R7">
    <cfRule type="expression" dxfId="629" priority="12" stopIfTrue="1">
      <formula>MOD(ROW(),2) = 1</formula>
    </cfRule>
  </conditionalFormatting>
  <conditionalFormatting sqref="V7">
    <cfRule type="expression" dxfId="628" priority="11" stopIfTrue="1">
      <formula>MOD(ROW(),2) = 1</formula>
    </cfRule>
  </conditionalFormatting>
  <conditionalFormatting sqref="S8:T8">
    <cfRule type="expression" dxfId="627" priority="10" stopIfTrue="1">
      <formula>MOD(ROW(),2) = 1</formula>
    </cfRule>
  </conditionalFormatting>
  <conditionalFormatting sqref="R8">
    <cfRule type="expression" dxfId="626" priority="9" stopIfTrue="1">
      <formula>MOD(ROW(),2) = 1</formula>
    </cfRule>
  </conditionalFormatting>
  <conditionalFormatting sqref="V8">
    <cfRule type="expression" dxfId="625" priority="8" stopIfTrue="1">
      <formula>MOD(ROW(),2) = 1</formula>
    </cfRule>
  </conditionalFormatting>
  <conditionalFormatting sqref="AJ27:AK27">
    <cfRule type="expression" dxfId="624" priority="7" stopIfTrue="1">
      <formula>MOD(ROW(),2) = 1</formula>
    </cfRule>
  </conditionalFormatting>
  <conditionalFormatting sqref="AL27">
    <cfRule type="expression" dxfId="623" priority="6" stopIfTrue="1">
      <formula>MOD(ROW(),2) = 1</formula>
    </cfRule>
  </conditionalFormatting>
  <conditionalFormatting sqref="AM27">
    <cfRule type="expression" dxfId="622" priority="5" stopIfTrue="1">
      <formula>MOD(ROW(),2) = 1</formula>
    </cfRule>
  </conditionalFormatting>
  <conditionalFormatting sqref="S27">
    <cfRule type="expression" dxfId="621" priority="4" stopIfTrue="1">
      <formula>MOD(ROW(),2) = 1</formula>
    </cfRule>
  </conditionalFormatting>
  <conditionalFormatting sqref="R27">
    <cfRule type="expression" dxfId="620" priority="3" stopIfTrue="1">
      <formula>MOD(ROW(),2) = 1</formula>
    </cfRule>
  </conditionalFormatting>
  <conditionalFormatting sqref="T27">
    <cfRule type="expression" dxfId="619" priority="2" stopIfTrue="1">
      <formula>MOD(ROW(),2) = 1</formula>
    </cfRule>
  </conditionalFormatting>
  <conditionalFormatting sqref="V27">
    <cfRule type="expression" dxfId="618" priority="1" stopIfTrue="1">
      <formula>MOD(ROW(),2) = 1</formula>
    </cfRule>
  </conditionalFormatting>
  <pageMargins left="0.25" right="0.25" top="0.75" bottom="0.75" header="0.3" footer="0.3"/>
  <pageSetup paperSize="9" scale="13" fitToHeight="0" orientation="portrait"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6801" r:id="rId4" name="Button 1">
              <controlPr defaultSize="0" print="0" autoFill="0" autoPict="0" macro="[0]!Coloring">
                <anchor moveWithCells="1" sizeWithCells="1">
                  <from>
                    <xdr:col>1</xdr:col>
                    <xdr:colOff>1035050</xdr:colOff>
                    <xdr:row>0</xdr:row>
                    <xdr:rowOff>31750</xdr:rowOff>
                  </from>
                  <to>
                    <xdr:col>2</xdr:col>
                    <xdr:colOff>717550</xdr:colOff>
                    <xdr:row>0</xdr:row>
                    <xdr:rowOff>292100</xdr:rowOff>
                  </to>
                </anchor>
              </controlPr>
            </control>
          </mc:Choice>
        </mc:AlternateContent>
        <mc:AlternateContent xmlns:mc="http://schemas.openxmlformats.org/markup-compatibility/2006">
          <mc:Choice Requires="x14">
            <control shapeId="76802" r:id="rId5" name="Button 2">
              <controlPr defaultSize="0" print="0" autoFill="0" autoPict="0" macro="[0]!WRITE_CSVFile3">
                <anchor moveWithCells="1" sizeWithCells="1">
                  <from>
                    <xdr:col>1</xdr:col>
                    <xdr:colOff>76200</xdr:colOff>
                    <xdr:row>0</xdr:row>
                    <xdr:rowOff>31750</xdr:rowOff>
                  </from>
                  <to>
                    <xdr:col>1</xdr:col>
                    <xdr:colOff>1016000</xdr:colOff>
                    <xdr:row>0</xdr:row>
                    <xdr:rowOff>292100</xdr:rowOff>
                  </to>
                </anchor>
              </controlPr>
            </control>
          </mc:Choice>
        </mc:AlternateContent>
        <mc:AlternateContent xmlns:mc="http://schemas.openxmlformats.org/markup-compatibility/2006">
          <mc:Choice Requires="x14">
            <control shapeId="76803" r:id="rId6" name="Button 3">
              <controlPr defaultSize="0" print="0" autoFill="0" autoPict="0" macro="[0]!Coloring">
                <anchor moveWithCells="1" sizeWithCells="1">
                  <from>
                    <xdr:col>1</xdr:col>
                    <xdr:colOff>260350</xdr:colOff>
                    <xdr:row>0</xdr:row>
                    <xdr:rowOff>31750</xdr:rowOff>
                  </from>
                  <to>
                    <xdr:col>1</xdr:col>
                    <xdr:colOff>984250</xdr:colOff>
                    <xdr:row>0</xdr:row>
                    <xdr:rowOff>228600</xdr:rowOff>
                  </to>
                </anchor>
              </controlPr>
            </control>
          </mc:Choice>
        </mc:AlternateContent>
        <mc:AlternateContent xmlns:mc="http://schemas.openxmlformats.org/markup-compatibility/2006">
          <mc:Choice Requires="x14">
            <control shapeId="76804" r:id="rId7" name="Button 4">
              <controlPr defaultSize="0" print="0" autoFill="0" autoPict="0" macro="[0]!Coloring">
                <anchor moveWithCells="1" sizeWithCells="1">
                  <from>
                    <xdr:col>1</xdr:col>
                    <xdr:colOff>1035050</xdr:colOff>
                    <xdr:row>0</xdr:row>
                    <xdr:rowOff>31750</xdr:rowOff>
                  </from>
                  <to>
                    <xdr:col>2</xdr:col>
                    <xdr:colOff>717550</xdr:colOff>
                    <xdr:row>0</xdr:row>
                    <xdr:rowOff>292100</xdr:rowOff>
                  </to>
                </anchor>
              </controlPr>
            </control>
          </mc:Choice>
        </mc:AlternateContent>
        <mc:AlternateContent xmlns:mc="http://schemas.openxmlformats.org/markup-compatibility/2006">
          <mc:Choice Requires="x14">
            <control shapeId="76805" r:id="rId8" name="Button 5">
              <controlPr defaultSize="0" print="0" autoFill="0" autoPict="0" macro="[0]!WRITE_CSVFile3">
                <anchor moveWithCells="1" sizeWithCells="1">
                  <from>
                    <xdr:col>1</xdr:col>
                    <xdr:colOff>76200</xdr:colOff>
                    <xdr:row>0</xdr:row>
                    <xdr:rowOff>31750</xdr:rowOff>
                  </from>
                  <to>
                    <xdr:col>1</xdr:col>
                    <xdr:colOff>1016000</xdr:colOff>
                    <xdr:row>0</xdr:row>
                    <xdr:rowOff>292100</xdr:rowOff>
                  </to>
                </anchor>
              </controlPr>
            </control>
          </mc:Choice>
        </mc:AlternateContent>
        <mc:AlternateContent xmlns:mc="http://schemas.openxmlformats.org/markup-compatibility/2006">
          <mc:Choice Requires="x14">
            <control shapeId="76895" r:id="rId9" name="Button 95">
              <controlPr defaultSize="0" print="0" autoFill="0" autoPict="0" macro="[0]!Coloring">
                <anchor moveWithCells="1" sizeWithCells="1">
                  <from>
                    <xdr:col>1</xdr:col>
                    <xdr:colOff>260350</xdr:colOff>
                    <xdr:row>0</xdr:row>
                    <xdr:rowOff>31750</xdr:rowOff>
                  </from>
                  <to>
                    <xdr:col>1</xdr:col>
                    <xdr:colOff>984250</xdr:colOff>
                    <xdr:row>0</xdr:row>
                    <xdr:rowOff>228600</xdr:rowOff>
                  </to>
                </anchor>
              </controlPr>
            </control>
          </mc:Choice>
        </mc:AlternateContent>
        <mc:AlternateContent xmlns:mc="http://schemas.openxmlformats.org/markup-compatibility/2006">
          <mc:Choice Requires="x14">
            <control shapeId="76896" r:id="rId10" name="Button 96">
              <controlPr defaultSize="0" print="0" autoFill="0" autoPict="0" macro="[0]!Coloring">
                <anchor moveWithCells="1" sizeWithCells="1">
                  <from>
                    <xdr:col>1</xdr:col>
                    <xdr:colOff>1035050</xdr:colOff>
                    <xdr:row>0</xdr:row>
                    <xdr:rowOff>31750</xdr:rowOff>
                  </from>
                  <to>
                    <xdr:col>2</xdr:col>
                    <xdr:colOff>717550</xdr:colOff>
                    <xdr:row>0</xdr:row>
                    <xdr:rowOff>292100</xdr:rowOff>
                  </to>
                </anchor>
              </controlPr>
            </control>
          </mc:Choice>
        </mc:AlternateContent>
        <mc:AlternateContent xmlns:mc="http://schemas.openxmlformats.org/markup-compatibility/2006">
          <mc:Choice Requires="x14">
            <control shapeId="76897" r:id="rId11" name="Button 97">
              <controlPr defaultSize="0" print="0" autoFill="0" autoPict="0" macro="[0]!WRITE_CSVFile3">
                <anchor moveWithCells="1" sizeWithCells="1">
                  <from>
                    <xdr:col>1</xdr:col>
                    <xdr:colOff>76200</xdr:colOff>
                    <xdr:row>0</xdr:row>
                    <xdr:rowOff>31750</xdr:rowOff>
                  </from>
                  <to>
                    <xdr:col>1</xdr:col>
                    <xdr:colOff>1016000</xdr:colOff>
                    <xdr:row>0</xdr:row>
                    <xdr:rowOff>292100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5"/>
  <sheetViews>
    <sheetView zoomScale="130" zoomScaleNormal="130" workbookViewId="0">
      <selection activeCell="J13" sqref="J13"/>
    </sheetView>
  </sheetViews>
  <sheetFormatPr defaultRowHeight="11"/>
  <cols>
    <col min="1" max="1" width="12.33203125" customWidth="1"/>
  </cols>
  <sheetData>
    <row r="1" spans="1:2">
      <c r="A1" t="s">
        <v>1117</v>
      </c>
      <c r="B1" t="s">
        <v>1118</v>
      </c>
    </row>
    <row r="2" spans="1:2">
      <c r="A2" t="s">
        <v>1051</v>
      </c>
      <c r="B2" t="s">
        <v>1094</v>
      </c>
    </row>
    <row r="3" spans="1:2">
      <c r="A3" t="s">
        <v>1058</v>
      </c>
      <c r="B3" t="s">
        <v>1116</v>
      </c>
    </row>
    <row r="4" spans="1:2">
      <c r="A4" t="s">
        <v>1060</v>
      </c>
      <c r="B4" t="s">
        <v>1097</v>
      </c>
    </row>
    <row r="5" spans="1:2">
      <c r="A5" t="s">
        <v>1061</v>
      </c>
      <c r="B5" t="s">
        <v>1119</v>
      </c>
    </row>
  </sheetData>
  <phoneticPr fontId="4"/>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6321" r:id="rId3" name="Button 1">
              <controlPr defaultSize="0" print="0" autoFill="0" autoPict="0" macro="[0]!WRITE_CSVFile3">
                <anchor moveWithCells="1" sizeWithCells="1">
                  <from>
                    <xdr:col>4</xdr:col>
                    <xdr:colOff>101600</xdr:colOff>
                    <xdr:row>7</xdr:row>
                    <xdr:rowOff>31750</xdr:rowOff>
                  </from>
                  <to>
                    <xdr:col>6</xdr:col>
                    <xdr:colOff>25400</xdr:colOff>
                    <xdr:row>9</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pageSetUpPr fitToPage="1"/>
  </sheetPr>
  <dimension ref="A1:CB23"/>
  <sheetViews>
    <sheetView zoomScale="115" zoomScaleNormal="115" workbookViewId="0">
      <pane xSplit="2" ySplit="1" topLeftCell="G2" activePane="bottomRight" state="frozen"/>
      <selection pane="topRight" activeCell="C1" sqref="C1"/>
      <selection pane="bottomLeft" activeCell="A2" sqref="A2"/>
      <selection pane="bottomRight" activeCell="L3" sqref="L3:M3"/>
    </sheetView>
  </sheetViews>
  <sheetFormatPr defaultColWidth="9.33203125" defaultRowHeight="12"/>
  <cols>
    <col min="1" max="1" width="9.33203125" style="8"/>
    <col min="2" max="2" width="23.33203125" style="8" customWidth="1"/>
    <col min="3" max="3" width="20.109375" style="8" customWidth="1"/>
    <col min="4" max="4" width="18" style="8" customWidth="1"/>
    <col min="5" max="5" width="21.6640625" style="8" customWidth="1"/>
    <col min="6" max="6" width="13" style="8" customWidth="1"/>
    <col min="7" max="7" width="15.33203125" style="8" customWidth="1"/>
    <col min="8" max="8" width="15.109375" style="8" customWidth="1"/>
    <col min="9" max="9" width="15" style="8" customWidth="1"/>
    <col min="10" max="10" width="11.33203125" style="8" customWidth="1"/>
    <col min="11" max="14" width="9.33203125" style="8"/>
    <col min="15" max="15" width="43.109375" style="8" customWidth="1"/>
    <col min="16" max="22" width="9.33203125" style="8"/>
    <col min="23" max="23" width="9.33203125" style="8" customWidth="1"/>
    <col min="24" max="28" width="14.88671875" style="8" customWidth="1"/>
    <col min="29" max="29" width="12.33203125" style="8" customWidth="1"/>
    <col min="30" max="30" width="11.44140625" style="8" customWidth="1"/>
    <col min="31" max="40" width="9.33203125" style="8"/>
    <col min="41" max="41" width="15.44140625" style="8" customWidth="1"/>
    <col min="42" max="42" width="9.33203125" style="8"/>
    <col min="43" max="43" width="12.44140625" style="8" customWidth="1"/>
    <col min="44" max="44" width="9.33203125" style="8"/>
    <col min="45" max="45" width="9.6640625" style="8" bestFit="1" customWidth="1"/>
    <col min="46" max="51" width="9.33203125" style="8"/>
    <col min="52" max="52" width="70.88671875" style="8" customWidth="1"/>
    <col min="53" max="16384" width="9.33203125" style="8"/>
  </cols>
  <sheetData>
    <row r="1" spans="1:80" s="129" customFormat="1" ht="63.75" customHeight="1" thickBot="1">
      <c r="A1" s="128" t="s">
        <v>337</v>
      </c>
      <c r="B1" s="128" t="s">
        <v>338</v>
      </c>
      <c r="C1" s="128" t="s">
        <v>105</v>
      </c>
      <c r="D1" s="128" t="s">
        <v>339</v>
      </c>
      <c r="E1" s="128" t="s">
        <v>352</v>
      </c>
      <c r="F1" s="128" t="s">
        <v>354</v>
      </c>
      <c r="G1" s="128" t="s">
        <v>356</v>
      </c>
      <c r="H1" s="128" t="s">
        <v>358</v>
      </c>
      <c r="I1" s="128" t="s">
        <v>6</v>
      </c>
      <c r="J1" s="128" t="s">
        <v>701</v>
      </c>
      <c r="K1" s="128" t="s">
        <v>702</v>
      </c>
      <c r="L1" s="128" t="s">
        <v>8</v>
      </c>
      <c r="M1" s="128" t="s">
        <v>9</v>
      </c>
      <c r="N1" s="128" t="s">
        <v>10</v>
      </c>
      <c r="O1" s="128" t="s">
        <v>11</v>
      </c>
      <c r="P1" s="128" t="s">
        <v>381</v>
      </c>
      <c r="Q1" s="128" t="s">
        <v>340</v>
      </c>
      <c r="R1" s="128" t="s">
        <v>341</v>
      </c>
      <c r="S1" s="128" t="s">
        <v>342</v>
      </c>
      <c r="T1" s="128" t="s">
        <v>343</v>
      </c>
      <c r="U1" s="128" t="s">
        <v>344</v>
      </c>
      <c r="V1" s="128" t="s">
        <v>345</v>
      </c>
      <c r="W1" s="128" t="s">
        <v>346</v>
      </c>
      <c r="X1" s="128" t="s">
        <v>21</v>
      </c>
      <c r="Y1" s="128" t="s">
        <v>377</v>
      </c>
      <c r="Z1" s="128" t="s">
        <v>23</v>
      </c>
      <c r="AA1" s="128" t="s">
        <v>24</v>
      </c>
      <c r="AB1" s="128" t="s">
        <v>25</v>
      </c>
      <c r="AC1" s="128" t="s">
        <v>390</v>
      </c>
      <c r="AD1" s="128" t="s">
        <v>391</v>
      </c>
      <c r="AE1" s="128" t="s">
        <v>392</v>
      </c>
      <c r="AF1" s="128" t="s">
        <v>347</v>
      </c>
      <c r="AG1" s="128" t="s">
        <v>348</v>
      </c>
      <c r="AH1" s="128" t="s">
        <v>350</v>
      </c>
      <c r="AI1" s="128" t="s">
        <v>349</v>
      </c>
      <c r="AJ1" s="128" t="s">
        <v>349</v>
      </c>
      <c r="AK1" s="128" t="s">
        <v>349</v>
      </c>
      <c r="AL1" s="128" t="s">
        <v>349</v>
      </c>
      <c r="AM1" s="128" t="s">
        <v>349</v>
      </c>
      <c r="AN1" s="128" t="s">
        <v>331</v>
      </c>
      <c r="AO1" s="128" t="s">
        <v>332</v>
      </c>
      <c r="AP1" s="128" t="s">
        <v>333</v>
      </c>
      <c r="AQ1" s="128" t="s">
        <v>389</v>
      </c>
      <c r="AR1" s="128" t="s">
        <v>233</v>
      </c>
      <c r="AS1" s="128" t="s">
        <v>774</v>
      </c>
      <c r="AT1" s="128" t="s">
        <v>775</v>
      </c>
      <c r="AU1" s="128" t="s">
        <v>994</v>
      </c>
      <c r="AV1" s="128" t="s">
        <v>155</v>
      </c>
      <c r="AW1" s="128" t="s">
        <v>156</v>
      </c>
      <c r="AX1" s="128" t="s">
        <v>157</v>
      </c>
      <c r="AY1" s="128" t="s">
        <v>158</v>
      </c>
      <c r="AZ1" s="128" t="s">
        <v>327</v>
      </c>
    </row>
    <row r="2" spans="1:80" ht="12.5" thickTop="1">
      <c r="A2" s="43" t="s">
        <v>26</v>
      </c>
      <c r="B2" s="43" t="s">
        <v>681</v>
      </c>
      <c r="C2" s="43" t="s">
        <v>378</v>
      </c>
      <c r="D2" s="43"/>
      <c r="E2" s="43" t="s">
        <v>322</v>
      </c>
      <c r="F2" s="43" t="s">
        <v>29</v>
      </c>
      <c r="G2" s="43"/>
      <c r="H2" s="43"/>
      <c r="I2" s="43" t="s">
        <v>810</v>
      </c>
      <c r="J2" s="47">
        <v>13.73</v>
      </c>
      <c r="K2" s="47"/>
      <c r="L2" s="43">
        <v>918</v>
      </c>
      <c r="M2" s="43">
        <v>606</v>
      </c>
      <c r="N2" s="43"/>
      <c r="O2" s="43"/>
      <c r="P2" s="43">
        <v>5</v>
      </c>
      <c r="Q2" s="43"/>
      <c r="R2" s="43"/>
      <c r="S2" s="43"/>
      <c r="T2" s="43"/>
      <c r="U2" s="43"/>
      <c r="V2" s="43"/>
      <c r="W2" s="43"/>
      <c r="X2" s="43"/>
      <c r="Y2" s="43"/>
      <c r="Z2" s="43"/>
      <c r="AA2" s="43"/>
      <c r="AB2" s="43"/>
      <c r="AC2" s="43"/>
      <c r="AD2" s="43"/>
      <c r="AE2" s="43"/>
      <c r="AF2" s="43"/>
      <c r="AG2" s="18"/>
      <c r="AH2" s="18"/>
      <c r="AI2" s="18"/>
      <c r="AJ2" s="18"/>
      <c r="AK2" s="18"/>
      <c r="AL2" s="18"/>
      <c r="AM2" s="18"/>
      <c r="AN2" s="18">
        <v>1</v>
      </c>
      <c r="AO2" s="18">
        <v>1</v>
      </c>
      <c r="AP2" s="18">
        <v>1</v>
      </c>
      <c r="AQ2" s="18"/>
      <c r="AR2" s="18"/>
      <c r="AS2" s="18"/>
      <c r="AT2" s="18"/>
      <c r="AU2" s="18"/>
      <c r="AV2" s="18"/>
      <c r="AW2" s="18"/>
      <c r="AX2" s="18"/>
      <c r="AY2" s="18"/>
      <c r="AZ2" s="43"/>
    </row>
    <row r="3" spans="1:80">
      <c r="A3" s="43" t="s">
        <v>26</v>
      </c>
      <c r="B3" s="43" t="s">
        <v>311</v>
      </c>
      <c r="C3" s="43" t="s">
        <v>379</v>
      </c>
      <c r="D3" s="43"/>
      <c r="E3" s="43" t="s">
        <v>322</v>
      </c>
      <c r="F3" s="43" t="s">
        <v>29</v>
      </c>
      <c r="G3" s="43"/>
      <c r="H3" s="43"/>
      <c r="I3" s="43" t="s">
        <v>810</v>
      </c>
      <c r="J3" s="47">
        <v>13.2</v>
      </c>
      <c r="K3" s="47"/>
      <c r="L3" s="43">
        <v>1046</v>
      </c>
      <c r="M3" s="43">
        <v>587</v>
      </c>
      <c r="N3" s="43"/>
      <c r="O3" s="43"/>
      <c r="P3" s="43">
        <v>5</v>
      </c>
      <c r="Q3" s="43"/>
      <c r="R3" s="43"/>
      <c r="S3" s="43"/>
      <c r="T3" s="43"/>
      <c r="U3" s="43"/>
      <c r="V3" s="43"/>
      <c r="W3" s="43"/>
      <c r="X3" s="43"/>
      <c r="Y3" s="43"/>
      <c r="Z3" s="43"/>
      <c r="AA3" s="43"/>
      <c r="AB3" s="43"/>
      <c r="AC3" s="43"/>
      <c r="AD3" s="43"/>
      <c r="AE3" s="43"/>
      <c r="AF3" s="43"/>
      <c r="AG3" s="18"/>
      <c r="AH3" s="18"/>
      <c r="AI3" s="18"/>
      <c r="AJ3" s="18"/>
      <c r="AK3" s="18"/>
      <c r="AL3" s="18"/>
      <c r="AM3" s="18"/>
      <c r="AN3" s="18">
        <v>1</v>
      </c>
      <c r="AO3" s="18">
        <v>1</v>
      </c>
      <c r="AP3" s="18">
        <v>1</v>
      </c>
      <c r="AQ3" s="18"/>
      <c r="AR3" s="18"/>
      <c r="AS3" s="18"/>
      <c r="AT3" s="18"/>
      <c r="AU3" s="18"/>
      <c r="AV3" s="18"/>
      <c r="AW3" s="18"/>
      <c r="AX3" s="18"/>
      <c r="AY3" s="18"/>
      <c r="AZ3" s="43"/>
    </row>
    <row r="4" spans="1:80">
      <c r="A4" s="43" t="s">
        <v>26</v>
      </c>
      <c r="B4" s="43" t="s">
        <v>312</v>
      </c>
      <c r="C4" s="43" t="s">
        <v>380</v>
      </c>
      <c r="D4" s="43"/>
      <c r="E4" s="43" t="s">
        <v>322</v>
      </c>
      <c r="F4" s="173" t="s">
        <v>168</v>
      </c>
      <c r="G4" s="43"/>
      <c r="H4" s="43"/>
      <c r="I4" s="43" t="s">
        <v>810</v>
      </c>
      <c r="J4" s="47">
        <v>14.1</v>
      </c>
      <c r="K4" s="47"/>
      <c r="L4" s="43">
        <v>1014</v>
      </c>
      <c r="M4" s="43">
        <v>659</v>
      </c>
      <c r="N4" s="43"/>
      <c r="O4" s="43"/>
      <c r="P4" s="43">
        <v>5</v>
      </c>
      <c r="Q4" s="43"/>
      <c r="R4" s="43"/>
      <c r="S4" s="43"/>
      <c r="T4" s="43"/>
      <c r="U4" s="43"/>
      <c r="V4" s="43"/>
      <c r="W4" s="43"/>
      <c r="X4" s="43"/>
      <c r="Y4" s="43"/>
      <c r="Z4" s="43"/>
      <c r="AA4" s="43"/>
      <c r="AB4" s="43"/>
      <c r="AC4" s="43"/>
      <c r="AD4" s="43"/>
      <c r="AE4" s="43"/>
      <c r="AF4" s="43"/>
      <c r="AG4" s="18"/>
      <c r="AH4" s="18"/>
      <c r="AI4" s="18"/>
      <c r="AJ4" s="18"/>
      <c r="AK4" s="18"/>
      <c r="AL4" s="18"/>
      <c r="AM4" s="18"/>
      <c r="AN4" s="18">
        <v>1</v>
      </c>
      <c r="AO4" s="18">
        <v>1</v>
      </c>
      <c r="AP4" s="18">
        <v>1</v>
      </c>
      <c r="AQ4" s="18"/>
      <c r="AR4" s="18"/>
      <c r="AS4" s="18"/>
      <c r="AT4" s="18"/>
      <c r="AU4" s="18"/>
      <c r="AV4" s="18"/>
      <c r="AW4" s="18"/>
      <c r="AX4" s="18"/>
      <c r="AY4" s="18"/>
      <c r="AZ4" s="43"/>
    </row>
    <row r="5" spans="1:80">
      <c r="A5" s="43" t="s">
        <v>26</v>
      </c>
      <c r="B5" s="43" t="s">
        <v>607</v>
      </c>
      <c r="C5" s="43" t="s">
        <v>303</v>
      </c>
      <c r="D5" s="43"/>
      <c r="E5" s="43" t="s">
        <v>323</v>
      </c>
      <c r="F5" s="43" t="s">
        <v>1026</v>
      </c>
      <c r="G5" s="43"/>
      <c r="H5" s="43"/>
      <c r="I5" s="43" t="s">
        <v>810</v>
      </c>
      <c r="J5" s="47">
        <v>17.8</v>
      </c>
      <c r="K5" s="47">
        <v>13.6</v>
      </c>
      <c r="L5" s="43">
        <v>905</v>
      </c>
      <c r="M5" s="43">
        <v>589</v>
      </c>
      <c r="N5" s="43"/>
      <c r="O5" s="43"/>
      <c r="P5" s="43">
        <v>5</v>
      </c>
      <c r="Q5" s="43"/>
      <c r="R5" s="43"/>
      <c r="S5" s="43"/>
      <c r="T5" s="43"/>
      <c r="U5" s="43"/>
      <c r="V5" s="43"/>
      <c r="W5" s="43"/>
      <c r="X5" s="43"/>
      <c r="Y5" s="43"/>
      <c r="Z5" s="43"/>
      <c r="AA5" s="43"/>
      <c r="AB5" s="43"/>
      <c r="AC5" s="43"/>
      <c r="AD5" s="43"/>
      <c r="AE5" s="43"/>
      <c r="AF5" s="43"/>
      <c r="AG5" s="18"/>
      <c r="AH5" s="18"/>
      <c r="AI5" s="18"/>
      <c r="AJ5" s="18"/>
      <c r="AK5" s="18"/>
      <c r="AL5" s="18"/>
      <c r="AM5" s="18"/>
      <c r="AN5" s="18">
        <v>1</v>
      </c>
      <c r="AO5" s="18">
        <v>1</v>
      </c>
      <c r="AP5" s="18">
        <v>1</v>
      </c>
      <c r="AQ5" s="18"/>
      <c r="AR5" s="18"/>
      <c r="AS5" s="18"/>
      <c r="AT5" s="18"/>
      <c r="AU5" s="18"/>
      <c r="AV5" s="18"/>
      <c r="AW5" s="18"/>
      <c r="AX5" s="18"/>
      <c r="AY5" s="18"/>
      <c r="AZ5" s="43"/>
    </row>
    <row r="6" spans="1:80">
      <c r="A6" s="43" t="s">
        <v>26</v>
      </c>
      <c r="B6" s="43" t="s">
        <v>726</v>
      </c>
      <c r="C6" s="43" t="s">
        <v>304</v>
      </c>
      <c r="D6" s="43"/>
      <c r="E6" s="43" t="s">
        <v>323</v>
      </c>
      <c r="F6" s="43" t="s">
        <v>231</v>
      </c>
      <c r="G6" s="43"/>
      <c r="H6" s="43"/>
      <c r="I6" s="43" t="s">
        <v>810</v>
      </c>
      <c r="J6" s="43">
        <v>34.93</v>
      </c>
      <c r="K6" s="43"/>
      <c r="L6" s="43">
        <v>803</v>
      </c>
      <c r="M6" s="43">
        <v>578</v>
      </c>
      <c r="N6" s="43"/>
      <c r="O6" s="43"/>
      <c r="P6" s="43">
        <v>5</v>
      </c>
      <c r="Q6" s="43"/>
      <c r="R6" s="43"/>
      <c r="S6" s="43"/>
      <c r="T6" s="43"/>
      <c r="U6" s="43"/>
      <c r="V6" s="43"/>
      <c r="W6" s="43"/>
      <c r="X6" s="43"/>
      <c r="Y6" s="43"/>
      <c r="Z6" s="43"/>
      <c r="AA6" s="43"/>
      <c r="AB6" s="43"/>
      <c r="AC6" s="43"/>
      <c r="AD6" s="43">
        <v>1</v>
      </c>
      <c r="AE6" s="43"/>
      <c r="AF6" s="43">
        <v>37.354999999999997</v>
      </c>
      <c r="AG6" s="18"/>
      <c r="AH6" s="18"/>
      <c r="AI6" s="18"/>
      <c r="AJ6" s="18"/>
      <c r="AK6" s="18"/>
      <c r="AL6" s="18"/>
      <c r="AM6" s="18"/>
      <c r="AN6" s="18">
        <v>1</v>
      </c>
      <c r="AO6" s="18">
        <v>1</v>
      </c>
      <c r="AP6" s="18">
        <v>1</v>
      </c>
      <c r="AQ6" s="18"/>
      <c r="AR6" s="18"/>
      <c r="AS6" s="18"/>
      <c r="AT6" s="18"/>
      <c r="AU6" s="18"/>
      <c r="AV6" s="18"/>
      <c r="AW6" s="18"/>
      <c r="AX6" s="18"/>
      <c r="AY6" s="18"/>
      <c r="AZ6" s="43" t="s">
        <v>395</v>
      </c>
    </row>
    <row r="7" spans="1:80">
      <c r="A7" s="43" t="s">
        <v>26</v>
      </c>
      <c r="B7" s="43" t="s">
        <v>609</v>
      </c>
      <c r="C7" s="43" t="s">
        <v>305</v>
      </c>
      <c r="D7" s="43"/>
      <c r="E7" s="43" t="s">
        <v>323</v>
      </c>
      <c r="F7" s="43" t="s">
        <v>259</v>
      </c>
      <c r="G7" s="43"/>
      <c r="H7" s="43"/>
      <c r="I7" s="43" t="s">
        <v>810</v>
      </c>
      <c r="J7" s="43">
        <v>4.05</v>
      </c>
      <c r="K7" s="43"/>
      <c r="L7" s="43">
        <v>1104</v>
      </c>
      <c r="M7" s="43">
        <v>556</v>
      </c>
      <c r="N7" s="43"/>
      <c r="O7" s="43"/>
      <c r="P7" s="43">
        <v>5</v>
      </c>
      <c r="Q7" s="43"/>
      <c r="R7" s="43"/>
      <c r="S7" s="43"/>
      <c r="T7" s="43"/>
      <c r="U7" s="43"/>
      <c r="V7" s="43"/>
      <c r="W7" s="43"/>
      <c r="X7" s="43"/>
      <c r="Y7" s="43"/>
      <c r="Z7" s="43"/>
      <c r="AA7" s="43"/>
      <c r="AB7" s="43">
        <v>1</v>
      </c>
      <c r="AC7" s="43"/>
      <c r="AD7" s="43">
        <v>1</v>
      </c>
      <c r="AE7" s="43"/>
      <c r="AF7" s="43">
        <v>43.5</v>
      </c>
      <c r="AG7" s="18"/>
      <c r="AH7" s="18"/>
      <c r="AI7" s="18"/>
      <c r="AJ7" s="18"/>
      <c r="AK7" s="18"/>
      <c r="AL7" s="18"/>
      <c r="AM7" s="18"/>
      <c r="AN7" s="18">
        <v>1</v>
      </c>
      <c r="AO7" s="18">
        <v>1</v>
      </c>
      <c r="AP7" s="18">
        <v>1</v>
      </c>
      <c r="AQ7" s="18"/>
      <c r="AR7" s="18"/>
      <c r="AS7" s="18"/>
      <c r="AT7" s="18"/>
      <c r="AU7" s="18"/>
      <c r="AV7" s="18"/>
      <c r="AW7" s="18"/>
      <c r="AX7" s="18"/>
      <c r="AY7" s="18"/>
      <c r="AZ7" s="43"/>
    </row>
    <row r="8" spans="1:80">
      <c r="A8" s="43" t="s">
        <v>26</v>
      </c>
      <c r="B8" s="43" t="s">
        <v>315</v>
      </c>
      <c r="C8" s="43" t="s">
        <v>306</v>
      </c>
      <c r="D8" s="43"/>
      <c r="E8" s="43" t="s">
        <v>325</v>
      </c>
      <c r="F8" s="43" t="s">
        <v>260</v>
      </c>
      <c r="G8" s="43" t="s">
        <v>255</v>
      </c>
      <c r="H8" s="43">
        <v>1</v>
      </c>
      <c r="I8" s="43" t="s">
        <v>810</v>
      </c>
      <c r="J8" s="47">
        <v>6.47</v>
      </c>
      <c r="K8" s="47"/>
      <c r="L8" s="43">
        <v>1137</v>
      </c>
      <c r="M8" s="43">
        <v>616</v>
      </c>
      <c r="N8" s="43"/>
      <c r="O8" s="43"/>
      <c r="P8" s="43">
        <v>5</v>
      </c>
      <c r="Q8" s="43"/>
      <c r="R8" s="43"/>
      <c r="S8" s="43"/>
      <c r="T8" s="43"/>
      <c r="U8" s="43"/>
      <c r="V8" s="43"/>
      <c r="W8" s="43"/>
      <c r="X8" s="43"/>
      <c r="Y8" s="43"/>
      <c r="Z8" s="43"/>
      <c r="AA8" s="43"/>
      <c r="AB8" s="43"/>
      <c r="AC8" s="43"/>
      <c r="AD8" s="43">
        <v>1</v>
      </c>
      <c r="AE8" s="43"/>
      <c r="AF8" s="43">
        <v>-45.606999999999999</v>
      </c>
      <c r="AG8" s="18"/>
      <c r="AH8" s="18"/>
      <c r="AI8" s="18"/>
      <c r="AJ8" s="18"/>
      <c r="AK8" s="18"/>
      <c r="AL8" s="18"/>
      <c r="AM8" s="18"/>
      <c r="AN8" s="18">
        <v>1</v>
      </c>
      <c r="AO8" s="18">
        <v>1</v>
      </c>
      <c r="AP8" s="18">
        <v>1</v>
      </c>
      <c r="AQ8" s="18"/>
      <c r="AR8" s="18"/>
      <c r="AS8" s="18"/>
      <c r="AT8" s="18"/>
      <c r="AU8" s="18"/>
      <c r="AV8" s="18"/>
      <c r="AW8" s="18"/>
      <c r="AX8" s="18"/>
      <c r="AY8" s="18"/>
      <c r="AZ8" s="43"/>
    </row>
    <row r="9" spans="1:80">
      <c r="A9" s="43" t="s">
        <v>26</v>
      </c>
      <c r="B9" s="43" t="s">
        <v>316</v>
      </c>
      <c r="C9" s="43" t="s">
        <v>307</v>
      </c>
      <c r="D9" s="43"/>
      <c r="E9" s="43" t="s">
        <v>324</v>
      </c>
      <c r="F9" s="43" t="s">
        <v>260</v>
      </c>
      <c r="G9" s="43" t="s">
        <v>255</v>
      </c>
      <c r="H9" s="43">
        <v>1</v>
      </c>
      <c r="I9" s="43" t="s">
        <v>810</v>
      </c>
      <c r="J9" s="47">
        <v>6.72</v>
      </c>
      <c r="K9" s="47"/>
      <c r="L9" s="43">
        <v>1056</v>
      </c>
      <c r="M9" s="43">
        <v>536</v>
      </c>
      <c r="N9" s="43"/>
      <c r="O9" s="43"/>
      <c r="P9" s="43">
        <v>5</v>
      </c>
      <c r="Q9" s="43"/>
      <c r="R9" s="43"/>
      <c r="S9" s="43"/>
      <c r="T9" s="43"/>
      <c r="U9" s="43"/>
      <c r="V9" s="43"/>
      <c r="W9" s="43"/>
      <c r="X9" s="43"/>
      <c r="Y9" s="43"/>
      <c r="Z9" s="43"/>
      <c r="AA9" s="43"/>
      <c r="AB9" s="43"/>
      <c r="AC9" s="43"/>
      <c r="AD9" s="43">
        <v>1</v>
      </c>
      <c r="AE9" s="43"/>
      <c r="AF9" s="43">
        <v>125.9</v>
      </c>
      <c r="AG9" s="18"/>
      <c r="AH9" s="18"/>
      <c r="AI9" s="18"/>
      <c r="AJ9" s="18"/>
      <c r="AK9" s="18"/>
      <c r="AL9" s="18"/>
      <c r="AM9" s="18"/>
      <c r="AN9" s="18">
        <v>1</v>
      </c>
      <c r="AO9" s="18">
        <v>1</v>
      </c>
      <c r="AP9" s="18">
        <v>1</v>
      </c>
      <c r="AQ9" s="18"/>
      <c r="AR9" s="18"/>
      <c r="AS9" s="18"/>
      <c r="AT9" s="18"/>
      <c r="AU9" s="18"/>
      <c r="AV9" s="18"/>
      <c r="AW9" s="18"/>
      <c r="AX9" s="18"/>
      <c r="AY9" s="18"/>
      <c r="AZ9" s="43"/>
    </row>
    <row r="10" spans="1:80">
      <c r="A10" s="43" t="s">
        <v>26</v>
      </c>
      <c r="B10" s="43" t="s">
        <v>317</v>
      </c>
      <c r="C10" s="43" t="s">
        <v>308</v>
      </c>
      <c r="D10" s="43"/>
      <c r="E10" s="43" t="s">
        <v>324</v>
      </c>
      <c r="F10" s="43" t="s">
        <v>490</v>
      </c>
      <c r="G10" s="43"/>
      <c r="H10" s="43"/>
      <c r="I10" s="43" t="s">
        <v>810</v>
      </c>
      <c r="J10" s="43">
        <v>34.14</v>
      </c>
      <c r="K10" s="43"/>
      <c r="L10" s="43">
        <v>883</v>
      </c>
      <c r="M10" s="43">
        <v>602</v>
      </c>
      <c r="N10" s="43"/>
      <c r="O10" s="43"/>
      <c r="P10" s="43">
        <v>5</v>
      </c>
      <c r="Q10" s="43"/>
      <c r="R10" s="43"/>
      <c r="S10" s="43"/>
      <c r="T10" s="43"/>
      <c r="U10" s="43"/>
      <c r="V10" s="43"/>
      <c r="W10" s="43"/>
      <c r="X10" s="43"/>
      <c r="Y10" s="43"/>
      <c r="Z10" s="43"/>
      <c r="AA10" s="43"/>
      <c r="AB10" s="43"/>
      <c r="AC10" s="43"/>
      <c r="AD10" s="43">
        <v>1</v>
      </c>
      <c r="AE10" s="43"/>
      <c r="AF10" s="43">
        <v>12.244999999999999</v>
      </c>
      <c r="AG10" s="18"/>
      <c r="AH10" s="18"/>
      <c r="AI10" s="18"/>
      <c r="AJ10" s="18"/>
      <c r="AK10" s="18"/>
      <c r="AL10" s="18"/>
      <c r="AM10" s="18"/>
      <c r="AN10" s="18">
        <v>1</v>
      </c>
      <c r="AO10" s="18">
        <v>1</v>
      </c>
      <c r="AP10" s="18">
        <v>1</v>
      </c>
      <c r="AQ10" s="18"/>
      <c r="AR10" s="18"/>
      <c r="AS10" s="18"/>
      <c r="AT10" s="18"/>
      <c r="AU10" s="18"/>
      <c r="AV10" s="18"/>
      <c r="AW10" s="18"/>
      <c r="AX10" s="18"/>
      <c r="AY10" s="18"/>
      <c r="AZ10" s="43" t="s">
        <v>394</v>
      </c>
    </row>
    <row r="11" spans="1:80">
      <c r="A11" s="43" t="s">
        <v>26</v>
      </c>
      <c r="B11" s="43" t="s">
        <v>836</v>
      </c>
      <c r="C11" s="43" t="s">
        <v>309</v>
      </c>
      <c r="D11" s="43"/>
      <c r="E11" s="43" t="s">
        <v>324</v>
      </c>
      <c r="F11" s="43" t="s">
        <v>494</v>
      </c>
      <c r="G11" s="43" t="s">
        <v>495</v>
      </c>
      <c r="H11" s="43">
        <v>1</v>
      </c>
      <c r="I11" s="43" t="s">
        <v>810</v>
      </c>
      <c r="J11" s="47">
        <v>7.17</v>
      </c>
      <c r="K11" s="47"/>
      <c r="L11" s="43">
        <v>882</v>
      </c>
      <c r="M11" s="43">
        <v>601</v>
      </c>
      <c r="N11" s="43"/>
      <c r="O11" s="43"/>
      <c r="P11" s="43">
        <v>5</v>
      </c>
      <c r="Q11" s="43"/>
      <c r="R11" s="43"/>
      <c r="S11" s="43"/>
      <c r="T11" s="43"/>
      <c r="U11" s="43"/>
      <c r="V11" s="43"/>
      <c r="W11" s="43"/>
      <c r="X11" s="43"/>
      <c r="Y11" s="43"/>
      <c r="Z11" s="43"/>
      <c r="AA11" s="43"/>
      <c r="AB11" s="43">
        <v>1</v>
      </c>
      <c r="AC11" s="43"/>
      <c r="AD11" s="43">
        <v>1</v>
      </c>
      <c r="AE11" s="43"/>
      <c r="AF11" s="43"/>
      <c r="AG11" s="18"/>
      <c r="AH11" s="18"/>
      <c r="AI11" s="18"/>
      <c r="AJ11" s="18"/>
      <c r="AK11" s="18"/>
      <c r="AL11" s="18"/>
      <c r="AM11" s="18"/>
      <c r="AN11" s="18">
        <v>1</v>
      </c>
      <c r="AO11" s="18">
        <v>1</v>
      </c>
      <c r="AP11" s="18">
        <v>1</v>
      </c>
      <c r="AQ11" s="18"/>
      <c r="AR11" s="18"/>
      <c r="AS11" s="18"/>
      <c r="AT11" s="18"/>
      <c r="AU11" s="18"/>
      <c r="AV11" s="18"/>
      <c r="AW11" s="18"/>
      <c r="AX11" s="18"/>
      <c r="AY11" s="18"/>
      <c r="AZ11" s="43"/>
    </row>
    <row r="12" spans="1:80">
      <c r="A12" s="43" t="s">
        <v>26</v>
      </c>
      <c r="B12" s="43" t="s">
        <v>319</v>
      </c>
      <c r="C12" s="43" t="s">
        <v>310</v>
      </c>
      <c r="D12" s="43"/>
      <c r="E12" s="43" t="s">
        <v>326</v>
      </c>
      <c r="F12" s="43" t="s">
        <v>496</v>
      </c>
      <c r="G12" s="43" t="s">
        <v>495</v>
      </c>
      <c r="H12" s="43">
        <v>2</v>
      </c>
      <c r="I12" s="43" t="s">
        <v>810</v>
      </c>
      <c r="J12" s="47">
        <v>9.58</v>
      </c>
      <c r="K12" s="47"/>
      <c r="L12" s="43">
        <v>833</v>
      </c>
      <c r="M12" s="43">
        <v>510</v>
      </c>
      <c r="N12" s="43"/>
      <c r="O12" s="43"/>
      <c r="P12" s="43">
        <v>5</v>
      </c>
      <c r="Q12" s="43"/>
      <c r="R12" s="43"/>
      <c r="S12" s="43"/>
      <c r="T12" s="43"/>
      <c r="U12" s="43"/>
      <c r="V12" s="43"/>
      <c r="W12" s="43"/>
      <c r="X12" s="43"/>
      <c r="Y12" s="43"/>
      <c r="Z12" s="43"/>
      <c r="AA12" s="43"/>
      <c r="AB12" s="43"/>
      <c r="AC12" s="43"/>
      <c r="AD12" s="43">
        <v>1</v>
      </c>
      <c r="AE12" s="43"/>
      <c r="AF12" s="43">
        <v>-12.18</v>
      </c>
      <c r="AG12" s="18"/>
      <c r="AH12" s="18"/>
      <c r="AI12" s="18"/>
      <c r="AJ12" s="18"/>
      <c r="AK12" s="18"/>
      <c r="AL12" s="18"/>
      <c r="AM12" s="18"/>
      <c r="AN12" s="18">
        <v>1</v>
      </c>
      <c r="AO12" s="18">
        <v>1</v>
      </c>
      <c r="AP12" s="18">
        <v>1</v>
      </c>
      <c r="AQ12" s="18"/>
      <c r="AR12" s="18"/>
      <c r="AS12" s="18"/>
      <c r="AT12" s="18"/>
      <c r="AU12" s="18"/>
      <c r="AV12" s="18"/>
      <c r="AW12" s="18"/>
      <c r="AX12" s="18"/>
      <c r="AY12" s="18"/>
      <c r="AZ12" s="43"/>
    </row>
    <row r="13" spans="1:80">
      <c r="A13" s="43" t="s">
        <v>26</v>
      </c>
      <c r="B13" s="43" t="s">
        <v>321</v>
      </c>
      <c r="C13" s="43" t="s">
        <v>320</v>
      </c>
      <c r="D13" s="43"/>
      <c r="E13" s="43" t="s">
        <v>326</v>
      </c>
      <c r="F13" s="43" t="s">
        <v>168</v>
      </c>
      <c r="G13" s="43" t="s">
        <v>495</v>
      </c>
      <c r="H13" s="43">
        <v>1</v>
      </c>
      <c r="I13" s="43" t="s">
        <v>810</v>
      </c>
      <c r="J13" s="47">
        <v>7.71</v>
      </c>
      <c r="K13" s="47"/>
      <c r="L13" s="43">
        <v>958</v>
      </c>
      <c r="M13" s="43">
        <v>536</v>
      </c>
      <c r="N13" s="43"/>
      <c r="O13" s="43"/>
      <c r="P13" s="43">
        <v>5</v>
      </c>
      <c r="Q13" s="43"/>
      <c r="R13" s="43"/>
      <c r="S13" s="43"/>
      <c r="T13" s="43"/>
      <c r="U13" s="43"/>
      <c r="V13" s="43"/>
      <c r="W13" s="43"/>
      <c r="X13" s="43"/>
      <c r="Y13" s="43"/>
      <c r="Z13" s="43"/>
      <c r="AA13" s="43"/>
      <c r="AB13" s="43"/>
      <c r="AC13" s="43"/>
      <c r="AD13" s="43">
        <v>1</v>
      </c>
      <c r="AE13" s="43"/>
      <c r="AF13" s="43">
        <v>127.8</v>
      </c>
      <c r="AG13" s="18"/>
      <c r="AH13" s="18"/>
      <c r="AI13" s="18"/>
      <c r="AJ13" s="18"/>
      <c r="AK13" s="18"/>
      <c r="AL13" s="18"/>
      <c r="AM13" s="18"/>
      <c r="AN13" s="18">
        <v>1</v>
      </c>
      <c r="AO13" s="18">
        <v>1</v>
      </c>
      <c r="AP13" s="18">
        <v>1</v>
      </c>
      <c r="AQ13" s="18"/>
      <c r="AR13" s="18"/>
      <c r="AS13" s="18">
        <v>3665200</v>
      </c>
      <c r="AT13" s="18"/>
      <c r="AU13" s="18"/>
      <c r="AV13" s="18"/>
      <c r="AW13" s="18"/>
      <c r="AX13" s="18"/>
      <c r="AY13" s="18"/>
      <c r="AZ13" s="43"/>
    </row>
    <row r="14" spans="1:80" s="23" customFormat="1">
      <c r="A14" s="39" t="s">
        <v>26</v>
      </c>
      <c r="B14" s="26" t="s">
        <v>589</v>
      </c>
      <c r="C14" s="26" t="s">
        <v>819</v>
      </c>
      <c r="D14" s="26" t="s">
        <v>238</v>
      </c>
      <c r="E14" s="26" t="s">
        <v>748</v>
      </c>
      <c r="F14" s="24" t="s">
        <v>260</v>
      </c>
      <c r="G14" s="24" t="s">
        <v>141</v>
      </c>
      <c r="H14" s="24">
        <v>2</v>
      </c>
      <c r="I14" s="43" t="s">
        <v>810</v>
      </c>
      <c r="J14" s="24">
        <v>2.12</v>
      </c>
      <c r="K14" s="24"/>
      <c r="L14" s="24">
        <v>1106</v>
      </c>
      <c r="M14" s="24">
        <v>809</v>
      </c>
      <c r="N14" s="24"/>
      <c r="O14" s="24"/>
      <c r="P14" s="39">
        <v>1</v>
      </c>
      <c r="Q14" s="24"/>
      <c r="R14" s="24"/>
      <c r="S14" s="24"/>
      <c r="T14" s="24"/>
      <c r="U14" s="24"/>
      <c r="V14" s="24"/>
      <c r="W14" s="24"/>
      <c r="X14" s="24"/>
      <c r="Y14" s="24"/>
      <c r="Z14" s="24"/>
      <c r="AA14" s="24"/>
      <c r="AB14" s="24"/>
      <c r="AC14" s="24"/>
      <c r="AD14" s="24">
        <v>1</v>
      </c>
      <c r="AE14" s="24"/>
      <c r="AF14" s="25">
        <v>-58.3</v>
      </c>
      <c r="AG14" s="25"/>
      <c r="AH14" s="25"/>
      <c r="AI14" s="10"/>
      <c r="AJ14" s="25"/>
      <c r="AK14" s="25"/>
      <c r="AL14" s="25"/>
      <c r="AM14" s="25"/>
      <c r="AN14" s="25">
        <v>1</v>
      </c>
      <c r="AO14" s="25">
        <v>1</v>
      </c>
      <c r="AP14" s="25">
        <v>1</v>
      </c>
      <c r="AQ14" s="25"/>
      <c r="AR14" s="25"/>
      <c r="AS14" s="18"/>
      <c r="AT14" s="25"/>
      <c r="AU14" s="25"/>
      <c r="AV14" s="25"/>
      <c r="AW14" s="25"/>
      <c r="AX14" s="25"/>
      <c r="AY14" s="25"/>
      <c r="AZ14" s="24" t="s">
        <v>254</v>
      </c>
      <c r="BA14" s="22"/>
      <c r="BB14" s="22"/>
      <c r="BC14" s="22"/>
      <c r="BD14" s="22"/>
      <c r="BE14" s="22"/>
      <c r="BF14" s="22"/>
      <c r="BG14" s="22"/>
      <c r="BH14" s="22"/>
      <c r="BI14" s="22"/>
      <c r="BJ14" s="22"/>
      <c r="BK14" s="22"/>
      <c r="BL14" s="22"/>
      <c r="BM14" s="22"/>
      <c r="BN14" s="22"/>
      <c r="BO14" s="22"/>
      <c r="BP14" s="22"/>
      <c r="BQ14" s="22"/>
      <c r="BR14" s="22"/>
      <c r="BS14" s="22"/>
      <c r="BT14" s="22"/>
      <c r="BU14" s="22"/>
      <c r="BV14" s="22"/>
      <c r="BW14" s="22"/>
      <c r="BX14" s="22"/>
      <c r="BY14" s="22"/>
      <c r="BZ14" s="22"/>
      <c r="CA14" s="22"/>
      <c r="CB14" s="22"/>
    </row>
    <row r="15" spans="1:80">
      <c r="A15" s="43" t="s">
        <v>26</v>
      </c>
      <c r="B15" s="31" t="s">
        <v>731</v>
      </c>
      <c r="C15" s="31" t="s">
        <v>734</v>
      </c>
      <c r="D15" s="29" t="s">
        <v>236</v>
      </c>
      <c r="E15" s="29" t="s">
        <v>748</v>
      </c>
      <c r="F15" s="43" t="s">
        <v>260</v>
      </c>
      <c r="G15" s="43"/>
      <c r="H15" s="43"/>
      <c r="I15" s="43" t="s">
        <v>810</v>
      </c>
      <c r="J15" s="43">
        <v>14.37</v>
      </c>
      <c r="K15" s="43"/>
      <c r="L15" s="43">
        <v>920</v>
      </c>
      <c r="M15" s="43">
        <v>774</v>
      </c>
      <c r="N15" s="43"/>
      <c r="O15" s="43"/>
      <c r="P15" s="43">
        <v>5</v>
      </c>
      <c r="Q15" s="43"/>
      <c r="R15" s="43"/>
      <c r="S15" s="43"/>
      <c r="T15" s="43"/>
      <c r="U15" s="43"/>
      <c r="V15" s="43"/>
      <c r="W15" s="43"/>
      <c r="X15" s="43"/>
      <c r="Y15" s="43"/>
      <c r="Z15" s="43"/>
      <c r="AA15" s="43"/>
      <c r="AB15" s="43"/>
      <c r="AC15" s="43"/>
      <c r="AD15" s="43"/>
      <c r="AE15" s="43"/>
      <c r="AF15" s="18"/>
      <c r="AG15" s="18"/>
      <c r="AH15" s="18"/>
      <c r="AI15" s="18"/>
      <c r="AJ15" s="18"/>
      <c r="AK15" s="18"/>
      <c r="AL15" s="18"/>
      <c r="AM15" s="18"/>
      <c r="AN15" s="18">
        <v>1</v>
      </c>
      <c r="AO15" s="18">
        <v>1</v>
      </c>
      <c r="AP15" s="18">
        <v>1</v>
      </c>
      <c r="AQ15" s="18"/>
      <c r="AR15" s="18"/>
      <c r="AS15" s="18"/>
      <c r="AT15" s="18"/>
      <c r="AU15" s="18"/>
      <c r="AV15" s="18"/>
      <c r="AW15" s="18"/>
      <c r="AX15" s="18"/>
      <c r="AY15" s="18"/>
      <c r="AZ15" s="43" t="s">
        <v>737</v>
      </c>
    </row>
    <row r="16" spans="1:80">
      <c r="A16" s="43" t="s">
        <v>26</v>
      </c>
      <c r="B16" s="31" t="s">
        <v>732</v>
      </c>
      <c r="C16" s="31" t="s">
        <v>735</v>
      </c>
      <c r="D16" s="29"/>
      <c r="E16" s="29" t="s">
        <v>749</v>
      </c>
      <c r="F16" s="43" t="s">
        <v>34</v>
      </c>
      <c r="G16" s="43"/>
      <c r="H16" s="43"/>
      <c r="I16" s="43" t="s">
        <v>30</v>
      </c>
      <c r="J16" s="43">
        <v>43.47</v>
      </c>
      <c r="K16" s="43"/>
      <c r="L16" s="43">
        <v>383</v>
      </c>
      <c r="M16" s="43">
        <v>223</v>
      </c>
      <c r="N16" s="43"/>
      <c r="O16" s="43"/>
      <c r="P16" s="43">
        <v>5</v>
      </c>
      <c r="Q16" s="43"/>
      <c r="R16" s="43"/>
      <c r="S16" s="43"/>
      <c r="T16" s="43"/>
      <c r="U16" s="43"/>
      <c r="V16" s="43"/>
      <c r="W16" s="43"/>
      <c r="X16" s="43"/>
      <c r="Y16" s="43"/>
      <c r="Z16" s="43"/>
      <c r="AA16" s="43"/>
      <c r="AB16" s="43"/>
      <c r="AC16" s="43"/>
      <c r="AD16" s="43"/>
      <c r="AE16" s="43"/>
      <c r="AF16" s="18"/>
      <c r="AG16" s="18"/>
      <c r="AH16" s="18"/>
      <c r="AI16" s="18"/>
      <c r="AJ16" s="18"/>
      <c r="AK16" s="18"/>
      <c r="AL16" s="18"/>
      <c r="AM16" s="18"/>
      <c r="AN16" s="18">
        <v>1</v>
      </c>
      <c r="AO16" s="18">
        <v>1</v>
      </c>
      <c r="AP16" s="18">
        <v>1</v>
      </c>
      <c r="AQ16" s="18"/>
      <c r="AR16" s="18"/>
      <c r="AS16" s="18"/>
      <c r="AT16" s="18"/>
      <c r="AU16" s="18"/>
      <c r="AV16" s="18"/>
      <c r="AW16" s="18"/>
      <c r="AX16" s="18"/>
      <c r="AY16" s="18"/>
      <c r="AZ16" s="43" t="s">
        <v>739</v>
      </c>
    </row>
    <row r="17" spans="1:80">
      <c r="A17" s="43" t="s">
        <v>26</v>
      </c>
      <c r="B17" s="31" t="s">
        <v>733</v>
      </c>
      <c r="C17" s="31" t="s">
        <v>742</v>
      </c>
      <c r="D17" s="29" t="s">
        <v>736</v>
      </c>
      <c r="E17" s="29" t="s">
        <v>749</v>
      </c>
      <c r="F17" s="43" t="s">
        <v>867</v>
      </c>
      <c r="G17" s="43"/>
      <c r="H17" s="43"/>
      <c r="I17" s="43" t="s">
        <v>810</v>
      </c>
      <c r="J17" s="43">
        <v>13.37</v>
      </c>
      <c r="K17" s="43"/>
      <c r="L17" s="43">
        <v>985</v>
      </c>
      <c r="M17" s="43">
        <v>767</v>
      </c>
      <c r="N17" s="43"/>
      <c r="O17" s="43"/>
      <c r="P17" s="43">
        <v>5</v>
      </c>
      <c r="Q17" s="43"/>
      <c r="R17" s="43"/>
      <c r="S17" s="43"/>
      <c r="T17" s="43"/>
      <c r="U17" s="43"/>
      <c r="V17" s="43"/>
      <c r="W17" s="43"/>
      <c r="X17" s="43"/>
      <c r="Y17" s="43"/>
      <c r="Z17" s="43"/>
      <c r="AA17" s="43"/>
      <c r="AB17" s="43"/>
      <c r="AC17" s="43"/>
      <c r="AD17" s="43"/>
      <c r="AE17" s="43"/>
      <c r="AF17" s="18"/>
      <c r="AG17" s="18"/>
      <c r="AH17" s="18"/>
      <c r="AI17" s="18"/>
      <c r="AJ17" s="18"/>
      <c r="AK17" s="18"/>
      <c r="AL17" s="18"/>
      <c r="AM17" s="18"/>
      <c r="AN17" s="18">
        <v>1</v>
      </c>
      <c r="AO17" s="18">
        <v>1</v>
      </c>
      <c r="AP17" s="18">
        <v>1</v>
      </c>
      <c r="AQ17" s="18"/>
      <c r="AR17" s="18"/>
      <c r="AS17" s="18"/>
      <c r="AT17" s="18"/>
      <c r="AU17" s="18"/>
      <c r="AV17" s="18"/>
      <c r="AW17" s="18"/>
      <c r="AX17" s="18"/>
      <c r="AY17" s="18"/>
      <c r="AZ17" s="43" t="s">
        <v>738</v>
      </c>
    </row>
    <row r="18" spans="1:80">
      <c r="A18" s="39" t="s">
        <v>26</v>
      </c>
      <c r="B18" s="27" t="s">
        <v>913</v>
      </c>
      <c r="C18" s="27" t="s">
        <v>385</v>
      </c>
      <c r="D18" s="27" t="s">
        <v>241</v>
      </c>
      <c r="E18" s="27" t="s">
        <v>750</v>
      </c>
      <c r="F18" s="39" t="s">
        <v>501</v>
      </c>
      <c r="G18" s="39"/>
      <c r="H18" s="39"/>
      <c r="I18" s="43" t="s">
        <v>810</v>
      </c>
      <c r="J18" s="39">
        <v>3.4</v>
      </c>
      <c r="K18" s="39"/>
      <c r="L18" s="39">
        <v>812</v>
      </c>
      <c r="M18" s="39">
        <v>1622</v>
      </c>
      <c r="N18" s="39"/>
      <c r="O18" s="39"/>
      <c r="P18" s="39">
        <v>1</v>
      </c>
      <c r="Q18" s="39"/>
      <c r="R18" s="39"/>
      <c r="S18" s="39"/>
      <c r="T18" s="39"/>
      <c r="U18" s="39"/>
      <c r="V18" s="39"/>
      <c r="W18" s="39"/>
      <c r="X18" s="39"/>
      <c r="Y18" s="39"/>
      <c r="Z18" s="39"/>
      <c r="AA18" s="39"/>
      <c r="AB18" s="39"/>
      <c r="AC18" s="39"/>
      <c r="AD18" s="39">
        <v>1</v>
      </c>
      <c r="AE18" s="39"/>
      <c r="AF18" s="10">
        <v>-17.5</v>
      </c>
      <c r="AG18" s="10"/>
      <c r="AH18" s="10">
        <v>-0.55000000000000004</v>
      </c>
      <c r="AI18" s="10"/>
      <c r="AJ18" s="10"/>
      <c r="AK18" s="10"/>
      <c r="AL18" s="10"/>
      <c r="AM18" s="10"/>
      <c r="AN18" s="10">
        <v>1</v>
      </c>
      <c r="AO18" s="10">
        <v>1</v>
      </c>
      <c r="AP18" s="10">
        <v>1</v>
      </c>
      <c r="AQ18" s="10">
        <v>1</v>
      </c>
      <c r="AR18" s="10"/>
      <c r="AS18" s="18">
        <v>3669722</v>
      </c>
      <c r="AT18" s="10"/>
      <c r="AU18" s="10"/>
      <c r="AV18" s="10"/>
      <c r="AW18" s="10"/>
      <c r="AX18" s="10"/>
      <c r="AY18" s="10"/>
      <c r="AZ18" s="39" t="s">
        <v>498</v>
      </c>
    </row>
    <row r="19" spans="1:80">
      <c r="A19" s="39" t="s">
        <v>26</v>
      </c>
      <c r="B19" s="27" t="s">
        <v>387</v>
      </c>
      <c r="C19" s="27" t="s">
        <v>383</v>
      </c>
      <c r="D19" s="33" t="s">
        <v>242</v>
      </c>
      <c r="E19" s="27" t="s">
        <v>750</v>
      </c>
      <c r="F19" s="39" t="s">
        <v>255</v>
      </c>
      <c r="G19" s="39" t="s">
        <v>501</v>
      </c>
      <c r="H19" s="39">
        <v>2</v>
      </c>
      <c r="I19" s="43" t="s">
        <v>810</v>
      </c>
      <c r="J19" s="39">
        <v>1.83</v>
      </c>
      <c r="K19" s="39"/>
      <c r="L19">
        <v>1071</v>
      </c>
      <c r="M19">
        <v>433</v>
      </c>
      <c r="N19" s="39"/>
      <c r="O19" s="39"/>
      <c r="P19" s="39">
        <v>1</v>
      </c>
      <c r="Q19" s="39"/>
      <c r="R19" s="39"/>
      <c r="S19" s="39"/>
      <c r="T19" s="39"/>
      <c r="U19" s="39"/>
      <c r="V19" s="39"/>
      <c r="W19" s="39"/>
      <c r="X19" s="39"/>
      <c r="Y19" s="39"/>
      <c r="Z19" s="39"/>
      <c r="AA19" s="39"/>
      <c r="AB19" s="39"/>
      <c r="AC19" s="39"/>
      <c r="AD19" s="39">
        <v>1</v>
      </c>
      <c r="AE19" s="39"/>
      <c r="AF19" s="10">
        <v>76.507999999999996</v>
      </c>
      <c r="AG19" s="10"/>
      <c r="AH19" s="10">
        <v>0.8</v>
      </c>
      <c r="AI19" s="10"/>
      <c r="AJ19" s="10"/>
      <c r="AK19" s="10"/>
      <c r="AL19" s="10"/>
      <c r="AM19" s="10"/>
      <c r="AN19" s="10">
        <v>1</v>
      </c>
      <c r="AO19" s="10">
        <v>1</v>
      </c>
      <c r="AP19" s="10">
        <v>1</v>
      </c>
      <c r="AQ19" s="10">
        <v>1</v>
      </c>
      <c r="AR19" s="10"/>
      <c r="AS19" s="18"/>
      <c r="AT19" s="10"/>
      <c r="AU19" s="10"/>
      <c r="AV19" s="10"/>
      <c r="AW19" s="10"/>
      <c r="AX19" s="10"/>
      <c r="AY19" s="10"/>
      <c r="AZ19" s="39" t="s">
        <v>286</v>
      </c>
    </row>
    <row r="20" spans="1:80">
      <c r="A20" s="39" t="s">
        <v>26</v>
      </c>
      <c r="B20" s="28" t="s">
        <v>388</v>
      </c>
      <c r="C20" s="28" t="s">
        <v>384</v>
      </c>
      <c r="D20" s="28" t="s">
        <v>243</v>
      </c>
      <c r="E20" s="28" t="s">
        <v>750</v>
      </c>
      <c r="F20" s="42" t="s">
        <v>77</v>
      </c>
      <c r="G20" s="42" t="s">
        <v>501</v>
      </c>
      <c r="H20" s="42">
        <v>2</v>
      </c>
      <c r="I20" s="43" t="s">
        <v>810</v>
      </c>
      <c r="J20" s="42">
        <v>1.88</v>
      </c>
      <c r="K20" s="42"/>
      <c r="L20" s="42">
        <v>989</v>
      </c>
      <c r="M20" s="42">
        <v>232</v>
      </c>
      <c r="N20" s="42"/>
      <c r="O20" s="42"/>
      <c r="P20" s="39">
        <v>1</v>
      </c>
      <c r="Q20" s="42"/>
      <c r="R20" s="42"/>
      <c r="S20" s="42"/>
      <c r="T20" s="42"/>
      <c r="U20" s="42"/>
      <c r="V20" s="42"/>
      <c r="W20" s="42"/>
      <c r="X20" s="42"/>
      <c r="Y20" s="42"/>
      <c r="Z20" s="42"/>
      <c r="AA20" s="42"/>
      <c r="AB20" s="42"/>
      <c r="AC20" s="42"/>
      <c r="AD20" s="42">
        <v>1</v>
      </c>
      <c r="AE20" s="42"/>
      <c r="AF20" s="15">
        <v>68.144000000000005</v>
      </c>
      <c r="AG20" s="15"/>
      <c r="AH20" s="15">
        <v>-9.6999999999999993</v>
      </c>
      <c r="AI20" s="10"/>
      <c r="AJ20" s="15"/>
      <c r="AK20" s="15"/>
      <c r="AL20" s="15"/>
      <c r="AM20" s="15"/>
      <c r="AN20" s="10">
        <v>1</v>
      </c>
      <c r="AO20" s="10">
        <v>1</v>
      </c>
      <c r="AP20" s="10">
        <v>1</v>
      </c>
      <c r="AQ20" s="15">
        <v>1</v>
      </c>
      <c r="AR20" s="15"/>
      <c r="AS20" s="18"/>
      <c r="AT20" s="15"/>
      <c r="AU20" s="15"/>
      <c r="AV20" s="15"/>
      <c r="AW20" s="15"/>
      <c r="AX20" s="15"/>
      <c r="AY20" s="15"/>
      <c r="AZ20" s="42" t="s">
        <v>286</v>
      </c>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row>
    <row r="21" spans="1:80">
      <c r="A21" s="43" t="s">
        <v>26</v>
      </c>
      <c r="B21" s="31" t="s">
        <v>296</v>
      </c>
      <c r="C21" s="31" t="s">
        <v>291</v>
      </c>
      <c r="D21" s="31"/>
      <c r="E21" s="31" t="s">
        <v>751</v>
      </c>
      <c r="F21" s="43" t="s">
        <v>34</v>
      </c>
      <c r="G21" s="19"/>
      <c r="H21" s="43"/>
      <c r="I21" s="43" t="s">
        <v>30</v>
      </c>
      <c r="J21" s="43">
        <v>17.63</v>
      </c>
      <c r="K21" s="43"/>
      <c r="L21" s="43">
        <v>408</v>
      </c>
      <c r="M21" s="43">
        <v>300</v>
      </c>
      <c r="N21" s="43"/>
      <c r="O21" s="43"/>
      <c r="P21" s="43">
        <v>5</v>
      </c>
      <c r="Q21" s="43"/>
      <c r="R21" s="43"/>
      <c r="S21" s="43"/>
      <c r="T21" s="43"/>
      <c r="U21" s="43"/>
      <c r="V21" s="43"/>
      <c r="W21" s="43"/>
      <c r="X21" s="43"/>
      <c r="Y21" s="43"/>
      <c r="Z21" s="43"/>
      <c r="AA21" s="43"/>
      <c r="AB21" s="43"/>
      <c r="AC21" s="43"/>
      <c r="AD21" s="43"/>
      <c r="AE21" s="43"/>
      <c r="AF21" s="18"/>
      <c r="AG21" s="18"/>
      <c r="AH21" s="18"/>
      <c r="AI21" s="18"/>
      <c r="AJ21" s="18"/>
      <c r="AK21" s="18"/>
      <c r="AL21" s="18"/>
      <c r="AM21" s="18"/>
      <c r="AN21" s="18">
        <v>1</v>
      </c>
      <c r="AO21" s="18">
        <v>1</v>
      </c>
      <c r="AP21" s="18">
        <v>1</v>
      </c>
      <c r="AQ21" s="18"/>
      <c r="AR21" s="18"/>
      <c r="AS21" s="18"/>
      <c r="AT21" s="18"/>
      <c r="AU21" s="18"/>
      <c r="AV21" s="18"/>
      <c r="AW21" s="18"/>
      <c r="AX21" s="18"/>
      <c r="AY21" s="18"/>
      <c r="AZ21" s="43" t="s">
        <v>256</v>
      </c>
    </row>
    <row r="22" spans="1:80">
      <c r="A22" s="43" t="s">
        <v>26</v>
      </c>
      <c r="B22" s="29" t="s">
        <v>693</v>
      </c>
      <c r="C22" s="29" t="s">
        <v>87</v>
      </c>
      <c r="D22" s="29"/>
      <c r="E22" s="29" t="s">
        <v>751</v>
      </c>
      <c r="F22" s="43" t="s">
        <v>29</v>
      </c>
      <c r="G22" s="19"/>
      <c r="H22" s="43"/>
      <c r="I22" s="43" t="s">
        <v>30</v>
      </c>
      <c r="J22" s="43">
        <v>175</v>
      </c>
      <c r="K22" s="43"/>
      <c r="L22" s="43"/>
      <c r="M22" s="43"/>
      <c r="N22" s="43"/>
      <c r="O22" s="43"/>
      <c r="P22" s="43">
        <v>5</v>
      </c>
      <c r="Q22" s="43"/>
      <c r="R22" s="43"/>
      <c r="S22" s="43"/>
      <c r="T22" s="43"/>
      <c r="U22" s="43"/>
      <c r="V22" s="43"/>
      <c r="W22" s="43"/>
      <c r="X22" s="43"/>
      <c r="Y22" s="43"/>
      <c r="Z22" s="43"/>
      <c r="AA22" s="43"/>
      <c r="AB22" s="43">
        <v>1</v>
      </c>
      <c r="AC22" s="43"/>
      <c r="AD22" s="43"/>
      <c r="AE22" s="43"/>
      <c r="AF22" s="18"/>
      <c r="AG22" s="18"/>
      <c r="AH22" s="18"/>
      <c r="AI22" s="18"/>
      <c r="AJ22" s="18"/>
      <c r="AK22" s="18"/>
      <c r="AL22" s="18"/>
      <c r="AM22" s="18"/>
      <c r="AN22" s="18">
        <v>1</v>
      </c>
      <c r="AO22" s="18">
        <v>1</v>
      </c>
      <c r="AP22" s="18">
        <v>1</v>
      </c>
      <c r="AQ22" s="18"/>
      <c r="AR22" s="18"/>
      <c r="AS22" s="18"/>
      <c r="AT22" s="18"/>
      <c r="AU22" s="18"/>
      <c r="AV22" s="18"/>
      <c r="AW22" s="18"/>
      <c r="AX22" s="18"/>
      <c r="AY22" s="18"/>
      <c r="AZ22" s="43"/>
    </row>
    <row r="23" spans="1:80">
      <c r="A23" s="43" t="s">
        <v>26</v>
      </c>
      <c r="B23" s="27" t="s">
        <v>288</v>
      </c>
      <c r="C23" s="27" t="s">
        <v>292</v>
      </c>
      <c r="D23" s="27"/>
      <c r="E23" s="28" t="s">
        <v>751</v>
      </c>
      <c r="F23" s="42" t="s">
        <v>29</v>
      </c>
      <c r="G23" s="16"/>
      <c r="H23" s="39"/>
      <c r="I23" s="39" t="s">
        <v>38</v>
      </c>
      <c r="J23" s="39">
        <v>138</v>
      </c>
      <c r="K23" s="39"/>
      <c r="L23" s="39"/>
      <c r="M23" s="39"/>
      <c r="N23" s="39"/>
      <c r="O23" s="39"/>
      <c r="P23" s="39">
        <v>5</v>
      </c>
      <c r="Q23" s="39"/>
      <c r="R23" s="39"/>
      <c r="S23" s="39"/>
      <c r="T23" s="39"/>
      <c r="U23" s="39"/>
      <c r="V23" s="39"/>
      <c r="W23" s="39"/>
      <c r="X23" s="39"/>
      <c r="Y23" s="39"/>
      <c r="Z23" s="39"/>
      <c r="AA23" s="39"/>
      <c r="AB23" s="39">
        <v>1</v>
      </c>
      <c r="AC23" s="39"/>
      <c r="AD23" s="39"/>
      <c r="AE23" s="39"/>
      <c r="AF23" s="10"/>
      <c r="AG23" s="10"/>
      <c r="AH23" s="10"/>
      <c r="AI23" s="10"/>
      <c r="AJ23" s="10"/>
      <c r="AK23" s="10"/>
      <c r="AL23" s="10"/>
      <c r="AM23" s="10"/>
      <c r="AN23" s="10">
        <v>1</v>
      </c>
      <c r="AO23" s="10">
        <v>1</v>
      </c>
      <c r="AP23" s="10">
        <v>1</v>
      </c>
      <c r="AQ23" s="10"/>
      <c r="AR23" s="10"/>
      <c r="AS23" s="10"/>
      <c r="AT23" s="10"/>
      <c r="AU23" s="10"/>
      <c r="AV23" s="10"/>
      <c r="AW23" s="10"/>
      <c r="AX23" s="10"/>
      <c r="AY23" s="10"/>
      <c r="AZ23" s="39"/>
    </row>
  </sheetData>
  <autoFilter ref="A1:CB23" xr:uid="{00000000-0009-0000-0000-000003000000}"/>
  <phoneticPr fontId="4"/>
  <conditionalFormatting sqref="AG9:AM10 C2:E2 AF8:AF11 AF7:AM7 J6:J11 AR2:AY2 P2:AM2 A98:AZ65478 Q7:AE13 G11:H11 F6:H10 AZ7:AZ9 BA24:XFD65478 A9:A11 G5:H5 G2:I4 H12:J13 AJ15:AM23 AF15:AH23 B21:E23 AN14:AR23 H17:H23 AZ11:AZ23 J14:J23 N19:AE19 L20:AE23 L14:AE18 A2:A7 C3:D11 E3:E13 AN2:AP13 AZ2:AZ5 Q3:AM6 P3:P13 L2:O13 AR3:AR13 AS3:AY23 BA2:IU23 B2:B11 J2:K5">
    <cfRule type="expression" dxfId="617" priority="110" stopIfTrue="1">
      <formula>MOD(ROW(),2) = 1</formula>
    </cfRule>
  </conditionalFormatting>
  <conditionalFormatting sqref="A12 C12:D12 AF12">
    <cfRule type="expression" dxfId="616" priority="99" stopIfTrue="1">
      <formula>MOD(ROW(),2) = 1</formula>
    </cfRule>
  </conditionalFormatting>
  <conditionalFormatting sqref="C13:D13 AF13 A13:A23">
    <cfRule type="expression" dxfId="615" priority="98" stopIfTrue="1">
      <formula>MOD(ROW(),2) = 1</formula>
    </cfRule>
  </conditionalFormatting>
  <conditionalFormatting sqref="F2:F3">
    <cfRule type="expression" dxfId="614" priority="93" stopIfTrue="1">
      <formula>MOD(ROW(),2) = 1</formula>
    </cfRule>
  </conditionalFormatting>
  <conditionalFormatting sqref="F5">
    <cfRule type="expression" dxfId="613" priority="91" stopIfTrue="1">
      <formula>MOD(ROW(),2) = 1</formula>
    </cfRule>
  </conditionalFormatting>
  <conditionalFormatting sqref="F12">
    <cfRule type="expression" dxfId="612" priority="88" stopIfTrue="1">
      <formula>MOD(ROW(),2) = 1</formula>
    </cfRule>
  </conditionalFormatting>
  <conditionalFormatting sqref="F13:G13">
    <cfRule type="expression" dxfId="611" priority="87" stopIfTrue="1">
      <formula>MOD(ROW(),2) = 1</formula>
    </cfRule>
  </conditionalFormatting>
  <conditionalFormatting sqref="B12">
    <cfRule type="expression" dxfId="610" priority="85" stopIfTrue="1">
      <formula>MOD(ROW(),2) = 1</formula>
    </cfRule>
  </conditionalFormatting>
  <conditionalFormatting sqref="B13">
    <cfRule type="expression" dxfId="609" priority="84" stopIfTrue="1">
      <formula>MOD(ROW(),2) = 1</formula>
    </cfRule>
  </conditionalFormatting>
  <conditionalFormatting sqref="B14:C14 C18:E20 C15 B16:C17 E14:H14 E16:H16 E15:E17 G15:H15">
    <cfRule type="expression" dxfId="608" priority="53" stopIfTrue="1">
      <formula>MOD(ROW(),2) = 1</formula>
    </cfRule>
  </conditionalFormatting>
  <conditionalFormatting sqref="BA1:IU1">
    <cfRule type="expression" dxfId="607" priority="64" stopIfTrue="1">
      <formula>MOD(ROW(),2) = 1</formula>
    </cfRule>
  </conditionalFormatting>
  <conditionalFormatting sqref="G12">
    <cfRule type="expression" dxfId="606" priority="61" stopIfTrue="1">
      <formula>MOD(ROW(),2) = 1</formula>
    </cfRule>
  </conditionalFormatting>
  <conditionalFormatting sqref="F11">
    <cfRule type="expression" dxfId="605" priority="60" stopIfTrue="1">
      <formula>MOD(ROW(),2) = 1</formula>
    </cfRule>
  </conditionalFormatting>
  <conditionalFormatting sqref="AZ6">
    <cfRule type="expression" dxfId="604" priority="56" stopIfTrue="1">
      <formula>MOD(ROW(),2) = 1</formula>
    </cfRule>
  </conditionalFormatting>
  <conditionalFormatting sqref="AZ10">
    <cfRule type="expression" dxfId="603" priority="55" stopIfTrue="1">
      <formula>MOD(ROW(),2) = 1</formula>
    </cfRule>
  </conditionalFormatting>
  <conditionalFormatting sqref="G17 F19:G20 F22:F23">
    <cfRule type="expression" dxfId="602" priority="52" stopIfTrue="1">
      <formula>MOD(ROW(),2) = 1</formula>
    </cfRule>
  </conditionalFormatting>
  <conditionalFormatting sqref="D14">
    <cfRule type="expression" dxfId="601" priority="50" stopIfTrue="1">
      <formula>MOD(ROW(),2) = 1</formula>
    </cfRule>
  </conditionalFormatting>
  <conditionalFormatting sqref="G18">
    <cfRule type="expression" dxfId="600" priority="49" stopIfTrue="1">
      <formula>MOD(ROW(),2) = 1</formula>
    </cfRule>
  </conditionalFormatting>
  <conditionalFormatting sqref="F18">
    <cfRule type="expression" dxfId="599" priority="48" stopIfTrue="1">
      <formula>MOD(ROW(),2) = 1</formula>
    </cfRule>
  </conditionalFormatting>
  <conditionalFormatting sqref="F21">
    <cfRule type="expression" dxfId="598" priority="47" stopIfTrue="1">
      <formula>MOD(ROW(),2) = 1</formula>
    </cfRule>
  </conditionalFormatting>
  <conditionalFormatting sqref="F17">
    <cfRule type="expression" dxfId="597" priority="46" stopIfTrue="1">
      <formula>MOD(ROW(),2) = 1</formula>
    </cfRule>
  </conditionalFormatting>
  <conditionalFormatting sqref="B18:B20">
    <cfRule type="expression" dxfId="596" priority="44" stopIfTrue="1">
      <formula>MOD(ROW(),2) = 1</formula>
    </cfRule>
  </conditionalFormatting>
  <conditionalFormatting sqref="D15:D16">
    <cfRule type="expression" dxfId="595" priority="33" stopIfTrue="1">
      <formula>MOD(ROW(),2) = 1</formula>
    </cfRule>
  </conditionalFormatting>
  <conditionalFormatting sqref="B15">
    <cfRule type="expression" dxfId="594" priority="32" stopIfTrue="1">
      <formula>MOD(ROW(),2) = 1</formula>
    </cfRule>
  </conditionalFormatting>
  <conditionalFormatting sqref="D17">
    <cfRule type="expression" dxfId="593" priority="31" stopIfTrue="1">
      <formula>MOD(ROW(),2) = 1</formula>
    </cfRule>
  </conditionalFormatting>
  <conditionalFormatting sqref="A8">
    <cfRule type="expression" dxfId="592" priority="29" stopIfTrue="1">
      <formula>MOD(ROW(),2) = 1</formula>
    </cfRule>
  </conditionalFormatting>
  <conditionalFormatting sqref="I5">
    <cfRule type="expression" dxfId="591" priority="27" stopIfTrue="1">
      <formula>MOD(ROW(),2) = 1</formula>
    </cfRule>
  </conditionalFormatting>
  <conditionalFormatting sqref="I6">
    <cfRule type="expression" dxfId="590" priority="26" stopIfTrue="1">
      <formula>MOD(ROW(),2) = 1</formula>
    </cfRule>
  </conditionalFormatting>
  <conditionalFormatting sqref="I7">
    <cfRule type="expression" dxfId="589" priority="25" stopIfTrue="1">
      <formula>MOD(ROW(),2) = 1</formula>
    </cfRule>
  </conditionalFormatting>
  <conditionalFormatting sqref="I8">
    <cfRule type="expression" dxfId="588" priority="24" stopIfTrue="1">
      <formula>MOD(ROW(),2) = 1</formula>
    </cfRule>
  </conditionalFormatting>
  <conditionalFormatting sqref="I9">
    <cfRule type="expression" dxfId="587" priority="23" stopIfTrue="1">
      <formula>MOD(ROW(),2) = 1</formula>
    </cfRule>
  </conditionalFormatting>
  <conditionalFormatting sqref="I10">
    <cfRule type="expression" dxfId="586" priority="22" stopIfTrue="1">
      <formula>MOD(ROW(),2) = 1</formula>
    </cfRule>
  </conditionalFormatting>
  <conditionalFormatting sqref="I11">
    <cfRule type="expression" dxfId="585" priority="21" stopIfTrue="1">
      <formula>MOD(ROW(),2) = 1</formula>
    </cfRule>
  </conditionalFormatting>
  <conditionalFormatting sqref="I14">
    <cfRule type="expression" dxfId="584" priority="20" stopIfTrue="1">
      <formula>MOD(ROW(),2) = 1</formula>
    </cfRule>
  </conditionalFormatting>
  <conditionalFormatting sqref="I15">
    <cfRule type="expression" dxfId="583" priority="19" stopIfTrue="1">
      <formula>MOD(ROW(),2) = 1</formula>
    </cfRule>
  </conditionalFormatting>
  <conditionalFormatting sqref="I17">
    <cfRule type="expression" dxfId="582" priority="17" stopIfTrue="1">
      <formula>MOD(ROW(),2) = 1</formula>
    </cfRule>
  </conditionalFormatting>
  <conditionalFormatting sqref="I18">
    <cfRule type="expression" dxfId="581" priority="16" stopIfTrue="1">
      <formula>MOD(ROW(),2) = 1</formula>
    </cfRule>
  </conditionalFormatting>
  <conditionalFormatting sqref="I19">
    <cfRule type="expression" dxfId="580" priority="15" stopIfTrue="1">
      <formula>MOD(ROW(),2) = 1</formula>
    </cfRule>
  </conditionalFormatting>
  <conditionalFormatting sqref="I20">
    <cfRule type="expression" dxfId="579" priority="14" stopIfTrue="1">
      <formula>MOD(ROW(),2) = 1</formula>
    </cfRule>
  </conditionalFormatting>
  <conditionalFormatting sqref="I16">
    <cfRule type="expression" dxfId="578" priority="9" stopIfTrue="1">
      <formula>MOD(ROW(),2) = 1</formula>
    </cfRule>
  </conditionalFormatting>
  <conditionalFormatting sqref="I21">
    <cfRule type="expression" dxfId="577" priority="8" stopIfTrue="1">
      <formula>MOD(ROW(),2) = 1</formula>
    </cfRule>
  </conditionalFormatting>
  <conditionalFormatting sqref="I22">
    <cfRule type="expression" dxfId="576" priority="7" stopIfTrue="1">
      <formula>MOD(ROW(),2) = 1</formula>
    </cfRule>
  </conditionalFormatting>
  <conditionalFormatting sqref="I23">
    <cfRule type="expression" dxfId="575" priority="6" stopIfTrue="1">
      <formula>MOD(ROW(),2) = 1</formula>
    </cfRule>
  </conditionalFormatting>
  <conditionalFormatting sqref="F15">
    <cfRule type="expression" dxfId="574" priority="5" stopIfTrue="1">
      <formula>MOD(ROW(),2) = 1</formula>
    </cfRule>
  </conditionalFormatting>
  <conditionalFormatting sqref="K6:K23">
    <cfRule type="expression" dxfId="573" priority="4" stopIfTrue="1">
      <formula>MOD(ROW(),2) = 1</formula>
    </cfRule>
  </conditionalFormatting>
  <conditionalFormatting sqref="F4">
    <cfRule type="expression" dxfId="572" priority="1" stopIfTrue="1">
      <formula>MOD(ROW(),2) = 1</formula>
    </cfRule>
  </conditionalFormatting>
  <pageMargins left="0.39370078740157483" right="0.39370078740157483" top="0.39370078740157483" bottom="0.39370078740157483" header="0.51181102362204722" footer="0.51181102362204722"/>
  <pageSetup paperSize="9" scale="17" fitToHeight="0" orientation="landscape"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Coloring">
                <anchor moveWithCells="1" sizeWithCells="1">
                  <from>
                    <xdr:col>1</xdr:col>
                    <xdr:colOff>260350</xdr:colOff>
                    <xdr:row>0</xdr:row>
                    <xdr:rowOff>31750</xdr:rowOff>
                  </from>
                  <to>
                    <xdr:col>1</xdr:col>
                    <xdr:colOff>984250</xdr:colOff>
                    <xdr:row>0</xdr:row>
                    <xdr:rowOff>228600</xdr:rowOff>
                  </to>
                </anchor>
              </controlPr>
            </control>
          </mc:Choice>
        </mc:AlternateContent>
        <mc:AlternateContent xmlns:mc="http://schemas.openxmlformats.org/markup-compatibility/2006">
          <mc:Choice Requires="x14">
            <control shapeId="11289" r:id="rId5" name="Button 25">
              <controlPr defaultSize="0" print="0" autoFill="0" autoPict="0" macro="[0]!Coloring">
                <anchor moveWithCells="1" sizeWithCells="1">
                  <from>
                    <xdr:col>1</xdr:col>
                    <xdr:colOff>1035050</xdr:colOff>
                    <xdr:row>0</xdr:row>
                    <xdr:rowOff>31750</xdr:rowOff>
                  </from>
                  <to>
                    <xdr:col>2</xdr:col>
                    <xdr:colOff>717550</xdr:colOff>
                    <xdr:row>0</xdr:row>
                    <xdr:rowOff>292100</xdr:rowOff>
                  </to>
                </anchor>
              </controlPr>
            </control>
          </mc:Choice>
        </mc:AlternateContent>
        <mc:AlternateContent xmlns:mc="http://schemas.openxmlformats.org/markup-compatibility/2006">
          <mc:Choice Requires="x14">
            <control shapeId="11290" r:id="rId6" name="Button 26">
              <controlPr defaultSize="0" print="0" autoFill="0" autoPict="0" macro="[0]!WRITE_CSVFile3">
                <anchor moveWithCells="1" sizeWithCells="1">
                  <from>
                    <xdr:col>1</xdr:col>
                    <xdr:colOff>76200</xdr:colOff>
                    <xdr:row>0</xdr:row>
                    <xdr:rowOff>31750</xdr:rowOff>
                  </from>
                  <to>
                    <xdr:col>1</xdr:col>
                    <xdr:colOff>1016000</xdr:colOff>
                    <xdr:row>0</xdr:row>
                    <xdr:rowOff>292100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BB23"/>
  <sheetViews>
    <sheetView tabSelected="1" zoomScale="115" zoomScaleNormal="115" workbookViewId="0">
      <pane xSplit="2" ySplit="1" topLeftCell="BA10" activePane="bottomRight" state="frozen"/>
      <selection pane="topRight" activeCell="C1" sqref="C1"/>
      <selection pane="bottomLeft" activeCell="A2" sqref="A2"/>
      <selection pane="bottomRight" activeCell="BA24" sqref="BA24"/>
    </sheetView>
  </sheetViews>
  <sheetFormatPr defaultColWidth="9.33203125" defaultRowHeight="12"/>
  <cols>
    <col min="1" max="1" width="9.33203125" style="8"/>
    <col min="2" max="2" width="32" style="8" customWidth="1"/>
    <col min="3" max="3" width="32.109375" style="8" customWidth="1"/>
    <col min="4" max="4" width="22.44140625" style="8" customWidth="1"/>
    <col min="5" max="5" width="29.77734375" style="8" customWidth="1"/>
    <col min="6" max="6" width="13" style="8" customWidth="1"/>
    <col min="7" max="7" width="9.33203125" style="8" customWidth="1"/>
    <col min="8" max="8" width="6.6640625" style="8" customWidth="1"/>
    <col min="9" max="9" width="15" style="8" customWidth="1"/>
    <col min="10" max="10" width="11.33203125" style="8" customWidth="1"/>
    <col min="11" max="14" width="9.33203125" style="8"/>
    <col min="15" max="15" width="11.33203125" style="8" customWidth="1"/>
    <col min="16" max="16" width="9.33203125" style="8"/>
    <col min="17" max="17" width="28.44140625" style="8" customWidth="1"/>
    <col min="18" max="18" width="34.77734375" style="8" customWidth="1"/>
    <col min="19" max="19" width="27.21875" style="8" customWidth="1"/>
    <col min="20" max="20" width="34.33203125" style="8" customWidth="1"/>
    <col min="21" max="21" width="45.88671875" style="8" customWidth="1"/>
    <col min="22" max="22" width="30.21875" style="8" customWidth="1"/>
    <col min="23" max="23" width="9.77734375" style="8" customWidth="1"/>
    <col min="24" max="28" width="14.88671875" style="8" customWidth="1"/>
    <col min="29" max="29" width="12.33203125" style="8" customWidth="1"/>
    <col min="30" max="30" width="11.44140625" style="8" customWidth="1"/>
    <col min="31" max="31" width="18.88671875" style="8" customWidth="1"/>
    <col min="32" max="34" width="9.33203125" style="8"/>
    <col min="35" max="35" width="42.44140625" style="8" customWidth="1"/>
    <col min="36" max="36" width="42.109375" style="8" customWidth="1"/>
    <col min="37" max="37" width="40.44140625" style="8" customWidth="1"/>
    <col min="38" max="38" width="34.33203125" style="8" customWidth="1"/>
    <col min="39" max="39" width="30.21875" style="8" customWidth="1"/>
    <col min="40" max="40" width="9.33203125" style="8"/>
    <col min="41" max="41" width="15.44140625" style="8" customWidth="1"/>
    <col min="42" max="42" width="9.33203125" style="8"/>
    <col min="43" max="43" width="12.44140625" style="8" customWidth="1"/>
    <col min="44" max="44" width="9.33203125" style="8"/>
    <col min="45" max="45" width="10.6640625" style="8" bestFit="1" customWidth="1"/>
    <col min="46" max="50" width="9.33203125" style="8"/>
    <col min="51" max="51" width="20.77734375" style="8" customWidth="1"/>
    <col min="52" max="52" width="20.21875" style="8" customWidth="1"/>
    <col min="53" max="53" width="26.77734375" style="8" customWidth="1"/>
    <col min="54" max="54" width="70.88671875" style="8" customWidth="1"/>
    <col min="55" max="16384" width="9.33203125" style="8"/>
  </cols>
  <sheetData>
    <row r="1" spans="1:54" s="129" customFormat="1" ht="63.75" customHeight="1" thickBot="1">
      <c r="A1" s="177" t="s">
        <v>337</v>
      </c>
      <c r="B1" s="177" t="s">
        <v>338</v>
      </c>
      <c r="C1" s="177" t="s">
        <v>105</v>
      </c>
      <c r="D1" s="177" t="s">
        <v>877</v>
      </c>
      <c r="E1" s="177" t="s">
        <v>352</v>
      </c>
      <c r="F1" s="177" t="s">
        <v>354</v>
      </c>
      <c r="G1" s="177" t="s">
        <v>356</v>
      </c>
      <c r="H1" s="177" t="s">
        <v>358</v>
      </c>
      <c r="I1" s="177" t="s">
        <v>6</v>
      </c>
      <c r="J1" s="177" t="s">
        <v>701</v>
      </c>
      <c r="K1" s="177" t="s">
        <v>702</v>
      </c>
      <c r="L1" s="177" t="s">
        <v>8</v>
      </c>
      <c r="M1" s="177" t="s">
        <v>9</v>
      </c>
      <c r="N1" s="177" t="s">
        <v>10</v>
      </c>
      <c r="O1" s="177" t="s">
        <v>935</v>
      </c>
      <c r="P1" s="177" t="s">
        <v>381</v>
      </c>
      <c r="Q1" s="177" t="s">
        <v>875</v>
      </c>
      <c r="R1" s="177" t="s">
        <v>879</v>
      </c>
      <c r="S1" s="177" t="s">
        <v>342</v>
      </c>
      <c r="T1" s="177" t="s">
        <v>967</v>
      </c>
      <c r="U1" s="177" t="s">
        <v>969</v>
      </c>
      <c r="V1" s="177" t="s">
        <v>984</v>
      </c>
      <c r="W1" s="177" t="s">
        <v>1049</v>
      </c>
      <c r="X1" s="177" t="s">
        <v>21</v>
      </c>
      <c r="Y1" s="177" t="s">
        <v>377</v>
      </c>
      <c r="Z1" s="177" t="s">
        <v>23</v>
      </c>
      <c r="AA1" s="177" t="s">
        <v>24</v>
      </c>
      <c r="AB1" s="177" t="s">
        <v>25</v>
      </c>
      <c r="AC1" s="177" t="s">
        <v>349</v>
      </c>
      <c r="AD1" s="177" t="s">
        <v>391</v>
      </c>
      <c r="AE1" s="177" t="s">
        <v>392</v>
      </c>
      <c r="AF1" s="177" t="s">
        <v>347</v>
      </c>
      <c r="AG1" s="177" t="s">
        <v>348</v>
      </c>
      <c r="AH1" s="177" t="s">
        <v>350</v>
      </c>
      <c r="AI1" s="177" t="s">
        <v>1063</v>
      </c>
      <c r="AJ1" s="177" t="s">
        <v>1071</v>
      </c>
      <c r="AK1" s="177" t="s">
        <v>1072</v>
      </c>
      <c r="AL1" s="177" t="s">
        <v>1079</v>
      </c>
      <c r="AM1" s="177" t="s">
        <v>1084</v>
      </c>
      <c r="AN1" s="177" t="s">
        <v>331</v>
      </c>
      <c r="AO1" s="177" t="s">
        <v>332</v>
      </c>
      <c r="AP1" s="177" t="s">
        <v>333</v>
      </c>
      <c r="AQ1" s="177" t="s">
        <v>389</v>
      </c>
      <c r="AR1" s="177" t="s">
        <v>233</v>
      </c>
      <c r="AS1" s="177" t="s">
        <v>774</v>
      </c>
      <c r="AT1" s="177" t="s">
        <v>775</v>
      </c>
      <c r="AU1" s="177" t="s">
        <v>994</v>
      </c>
      <c r="AV1" s="177" t="s">
        <v>1331</v>
      </c>
      <c r="AW1" s="177" t="s">
        <v>1332</v>
      </c>
      <c r="AX1" s="177" t="s">
        <v>1333</v>
      </c>
      <c r="AY1" s="177" t="s">
        <v>1334</v>
      </c>
      <c r="AZ1" s="177" t="s">
        <v>1335</v>
      </c>
      <c r="BA1" s="128" t="s">
        <v>1385</v>
      </c>
      <c r="BB1" s="177" t="s">
        <v>327</v>
      </c>
    </row>
    <row r="2" spans="1:54" ht="12.5" thickTop="1">
      <c r="A2" s="173" t="s">
        <v>26</v>
      </c>
      <c r="B2" s="141" t="s">
        <v>1245</v>
      </c>
      <c r="C2" s="178" t="s">
        <v>1124</v>
      </c>
      <c r="D2" s="141" t="s">
        <v>1176</v>
      </c>
      <c r="E2" s="8" t="s">
        <v>1140</v>
      </c>
      <c r="F2" s="173" t="s">
        <v>168</v>
      </c>
      <c r="G2" s="173"/>
      <c r="H2" s="173"/>
      <c r="I2" s="173" t="s">
        <v>810</v>
      </c>
      <c r="J2" s="173">
        <v>13.73</v>
      </c>
      <c r="K2" s="173"/>
      <c r="L2" s="173">
        <v>918</v>
      </c>
      <c r="M2" s="173">
        <v>606</v>
      </c>
      <c r="N2" s="173"/>
      <c r="O2" s="173"/>
      <c r="P2" s="173">
        <v>5</v>
      </c>
      <c r="Q2" s="176" t="s">
        <v>1184</v>
      </c>
      <c r="R2" s="178" t="s">
        <v>1141</v>
      </c>
      <c r="S2" s="173"/>
      <c r="T2" s="176" t="s">
        <v>1185</v>
      </c>
      <c r="U2" s="178" t="s">
        <v>1157</v>
      </c>
      <c r="V2" s="178" t="s">
        <v>1124</v>
      </c>
      <c r="W2" s="173" t="s">
        <v>1050</v>
      </c>
      <c r="X2" s="173"/>
      <c r="Y2" s="173"/>
      <c r="Z2" s="173"/>
      <c r="AA2" s="173"/>
      <c r="AB2" s="173"/>
      <c r="AC2" s="173"/>
      <c r="AD2" s="173"/>
      <c r="AE2" s="173"/>
      <c r="AF2" s="173"/>
      <c r="AG2" s="18"/>
      <c r="AH2" s="18"/>
      <c r="AI2" s="18" t="s">
        <v>1246</v>
      </c>
      <c r="AJ2" s="18" t="s">
        <v>1247</v>
      </c>
      <c r="AK2" s="18"/>
      <c r="AL2" s="173" t="s">
        <v>1248</v>
      </c>
      <c r="AM2" s="173" t="s">
        <v>1249</v>
      </c>
      <c r="AN2" s="18">
        <v>1</v>
      </c>
      <c r="AO2" s="18">
        <v>1</v>
      </c>
      <c r="AP2" s="18">
        <v>1</v>
      </c>
      <c r="AQ2" s="18"/>
      <c r="AR2" s="18"/>
      <c r="AS2" s="18">
        <v>15400000</v>
      </c>
      <c r="AT2" s="18"/>
      <c r="AU2" s="18"/>
      <c r="AV2" s="18"/>
      <c r="AW2" s="18"/>
      <c r="AX2" s="18">
        <v>25</v>
      </c>
      <c r="AY2" s="8">
        <v>0.47770000000000001</v>
      </c>
      <c r="AZ2" s="8">
        <v>9.9999999999999995E-8</v>
      </c>
      <c r="BA2" s="8" t="s">
        <v>1386</v>
      </c>
    </row>
    <row r="3" spans="1:54">
      <c r="A3" s="173" t="s">
        <v>26</v>
      </c>
      <c r="B3" s="141" t="s">
        <v>1177</v>
      </c>
      <c r="C3" s="178" t="s">
        <v>1125</v>
      </c>
      <c r="D3" s="141" t="s">
        <v>1177</v>
      </c>
      <c r="E3" s="8" t="s">
        <v>1140</v>
      </c>
      <c r="F3" s="173" t="s">
        <v>168</v>
      </c>
      <c r="G3" s="173"/>
      <c r="H3" s="173"/>
      <c r="I3" s="173" t="s">
        <v>810</v>
      </c>
      <c r="J3" s="173">
        <v>12.9</v>
      </c>
      <c r="K3" s="173"/>
      <c r="L3" s="173">
        <v>1046</v>
      </c>
      <c r="M3" s="173">
        <v>587</v>
      </c>
      <c r="N3" s="173"/>
      <c r="O3" s="173"/>
      <c r="P3" s="173">
        <v>5</v>
      </c>
      <c r="Q3" s="176" t="s">
        <v>1184</v>
      </c>
      <c r="R3" s="178" t="s">
        <v>1142</v>
      </c>
      <c r="S3" s="173"/>
      <c r="T3" s="176" t="s">
        <v>1186</v>
      </c>
      <c r="U3" s="178" t="s">
        <v>1158</v>
      </c>
      <c r="V3" s="178" t="s">
        <v>1125</v>
      </c>
      <c r="W3" s="173" t="s">
        <v>1050</v>
      </c>
      <c r="X3" s="173"/>
      <c r="Y3" s="173"/>
      <c r="Z3" s="173"/>
      <c r="AA3" s="173"/>
      <c r="AB3" s="173"/>
      <c r="AC3" s="173"/>
      <c r="AD3" s="173"/>
      <c r="AE3" s="173"/>
      <c r="AF3" s="173"/>
      <c r="AG3" s="18"/>
      <c r="AH3" s="18"/>
      <c r="AI3" s="18" t="s">
        <v>1272</v>
      </c>
      <c r="AJ3" s="18" t="s">
        <v>1283</v>
      </c>
      <c r="AK3" s="18"/>
      <c r="AL3" s="18" t="s">
        <v>1250</v>
      </c>
      <c r="AM3" s="18" t="s">
        <v>1261</v>
      </c>
      <c r="AN3" s="18">
        <v>1</v>
      </c>
      <c r="AO3" s="18">
        <v>1</v>
      </c>
      <c r="AP3" s="18">
        <v>1</v>
      </c>
      <c r="AQ3" s="18"/>
      <c r="AR3" s="18"/>
      <c r="AS3" s="18">
        <v>15400000</v>
      </c>
      <c r="AT3" s="18"/>
      <c r="AU3" s="18"/>
      <c r="AV3" s="18"/>
      <c r="AW3" s="18"/>
      <c r="AX3" s="18"/>
      <c r="AY3" s="8">
        <v>0.47770000000000001</v>
      </c>
      <c r="AZ3" s="8">
        <v>9.9999999999999995E-8</v>
      </c>
      <c r="BA3" s="8" t="s">
        <v>1387</v>
      </c>
    </row>
    <row r="4" spans="1:54">
      <c r="A4" s="173" t="s">
        <v>26</v>
      </c>
      <c r="B4" s="141" t="s">
        <v>1178</v>
      </c>
      <c r="C4" s="178" t="s">
        <v>1126</v>
      </c>
      <c r="D4" s="141" t="s">
        <v>1178</v>
      </c>
      <c r="E4" s="8" t="s">
        <v>1140</v>
      </c>
      <c r="F4" s="173" t="s">
        <v>168</v>
      </c>
      <c r="G4" s="173"/>
      <c r="H4" s="173"/>
      <c r="I4" s="173" t="s">
        <v>810</v>
      </c>
      <c r="J4" s="173">
        <v>14.1</v>
      </c>
      <c r="K4" s="173"/>
      <c r="L4" s="173">
        <v>1014</v>
      </c>
      <c r="M4" s="173">
        <v>659</v>
      </c>
      <c r="N4" s="173"/>
      <c r="O4" s="173"/>
      <c r="P4" s="173">
        <v>5</v>
      </c>
      <c r="Q4" s="176" t="s">
        <v>1184</v>
      </c>
      <c r="R4" s="178" t="s">
        <v>1143</v>
      </c>
      <c r="S4" s="173"/>
      <c r="T4" s="176" t="s">
        <v>1187</v>
      </c>
      <c r="U4" s="178" t="s">
        <v>1159</v>
      </c>
      <c r="V4" s="178" t="s">
        <v>1126</v>
      </c>
      <c r="W4" s="173" t="s">
        <v>1050</v>
      </c>
      <c r="X4" s="173"/>
      <c r="Y4" s="173"/>
      <c r="Z4" s="173"/>
      <c r="AA4" s="173"/>
      <c r="AB4" s="173"/>
      <c r="AC4" s="173"/>
      <c r="AD4" s="173"/>
      <c r="AE4" s="173"/>
      <c r="AF4" s="173"/>
      <c r="AG4" s="18"/>
      <c r="AH4" s="18"/>
      <c r="AI4" s="18" t="s">
        <v>1273</v>
      </c>
      <c r="AJ4" s="18" t="s">
        <v>1284</v>
      </c>
      <c r="AK4" s="18"/>
      <c r="AL4" s="18" t="s">
        <v>1251</v>
      </c>
      <c r="AM4" s="18" t="s">
        <v>1262</v>
      </c>
      <c r="AN4" s="18">
        <v>1</v>
      </c>
      <c r="AO4" s="18">
        <v>1</v>
      </c>
      <c r="AP4" s="18">
        <v>1</v>
      </c>
      <c r="AQ4" s="18"/>
      <c r="AR4" s="18"/>
      <c r="AS4" s="18">
        <v>15400000</v>
      </c>
      <c r="AT4" s="18"/>
      <c r="AU4" s="18"/>
      <c r="AV4" s="18"/>
      <c r="AW4" s="18"/>
      <c r="AX4" s="18"/>
      <c r="AY4" s="8">
        <v>0.47770000000000001</v>
      </c>
      <c r="AZ4" s="8">
        <v>9.9999999999999995E-8</v>
      </c>
      <c r="BA4" s="8" t="s">
        <v>1388</v>
      </c>
    </row>
    <row r="5" spans="1:54">
      <c r="A5" s="173" t="s">
        <v>26</v>
      </c>
      <c r="B5" s="141" t="s">
        <v>1179</v>
      </c>
      <c r="C5" s="178" t="s">
        <v>1127</v>
      </c>
      <c r="D5" s="141" t="s">
        <v>1179</v>
      </c>
      <c r="E5" s="8" t="s">
        <v>1140</v>
      </c>
      <c r="F5" s="173" t="s">
        <v>168</v>
      </c>
      <c r="G5" s="173"/>
      <c r="H5" s="173"/>
      <c r="I5" s="173" t="s">
        <v>810</v>
      </c>
      <c r="J5" s="173">
        <v>17.8</v>
      </c>
      <c r="K5" s="173">
        <v>13.6</v>
      </c>
      <c r="L5" s="173">
        <v>905</v>
      </c>
      <c r="M5" s="173">
        <v>589</v>
      </c>
      <c r="N5" s="173"/>
      <c r="O5" s="173"/>
      <c r="P5" s="173">
        <v>5</v>
      </c>
      <c r="Q5" s="176" t="s">
        <v>1184</v>
      </c>
      <c r="R5" s="178" t="s">
        <v>1144</v>
      </c>
      <c r="S5" s="173"/>
      <c r="T5" s="176" t="s">
        <v>1300</v>
      </c>
      <c r="U5" s="178" t="s">
        <v>1160</v>
      </c>
      <c r="V5" s="178" t="s">
        <v>1127</v>
      </c>
      <c r="W5" s="173" t="s">
        <v>1050</v>
      </c>
      <c r="X5" s="173"/>
      <c r="Y5" s="173"/>
      <c r="Z5" s="173"/>
      <c r="AA5" s="173"/>
      <c r="AB5" s="173"/>
      <c r="AC5" s="173"/>
      <c r="AD5" s="173"/>
      <c r="AE5" s="173"/>
      <c r="AF5" s="173"/>
      <c r="AG5" s="18"/>
      <c r="AH5" s="18"/>
      <c r="AI5" s="18" t="s">
        <v>1274</v>
      </c>
      <c r="AJ5" s="18" t="s">
        <v>1285</v>
      </c>
      <c r="AK5" s="18"/>
      <c r="AL5" s="18" t="s">
        <v>1252</v>
      </c>
      <c r="AM5" s="18" t="s">
        <v>1263</v>
      </c>
      <c r="AN5" s="18">
        <v>1</v>
      </c>
      <c r="AO5" s="18">
        <v>1</v>
      </c>
      <c r="AP5" s="18">
        <v>1</v>
      </c>
      <c r="AQ5" s="18"/>
      <c r="AR5" s="18"/>
      <c r="AS5" s="18">
        <v>15400000</v>
      </c>
      <c r="AT5" s="18"/>
      <c r="AU5" s="18"/>
      <c r="AV5" s="18"/>
      <c r="AW5" s="18"/>
      <c r="AX5" s="18"/>
      <c r="AY5" s="8">
        <v>0.47770000000000001</v>
      </c>
      <c r="AZ5" s="8">
        <v>9.9999999999999995E-8</v>
      </c>
      <c r="BA5" s="8" t="s">
        <v>1389</v>
      </c>
    </row>
    <row r="6" spans="1:54">
      <c r="A6" s="173" t="s">
        <v>26</v>
      </c>
      <c r="B6" s="141" t="s">
        <v>1180</v>
      </c>
      <c r="C6" s="178" t="s">
        <v>1128</v>
      </c>
      <c r="D6" s="141" t="s">
        <v>1180</v>
      </c>
      <c r="E6" s="8" t="s">
        <v>1140</v>
      </c>
      <c r="F6" s="173" t="s">
        <v>168</v>
      </c>
      <c r="G6" s="173"/>
      <c r="H6" s="173"/>
      <c r="I6" s="173" t="s">
        <v>810</v>
      </c>
      <c r="J6" s="173">
        <v>34.93</v>
      </c>
      <c r="K6" s="173"/>
      <c r="L6" s="173">
        <v>803</v>
      </c>
      <c r="M6" s="173">
        <v>578</v>
      </c>
      <c r="N6" s="173"/>
      <c r="O6" s="173"/>
      <c r="P6" s="173">
        <v>5</v>
      </c>
      <c r="Q6" s="176" t="s">
        <v>1184</v>
      </c>
      <c r="R6" s="178" t="s">
        <v>1145</v>
      </c>
      <c r="S6" s="173"/>
      <c r="T6" s="176" t="s">
        <v>1301</v>
      </c>
      <c r="U6" s="178" t="s">
        <v>1161</v>
      </c>
      <c r="V6" s="178" t="s">
        <v>1128</v>
      </c>
      <c r="W6" s="173" t="s">
        <v>1050</v>
      </c>
      <c r="X6" s="173"/>
      <c r="Y6" s="173"/>
      <c r="Z6" s="173"/>
      <c r="AA6" s="173"/>
      <c r="AB6" s="173"/>
      <c r="AC6" s="173"/>
      <c r="AD6" s="173">
        <v>1</v>
      </c>
      <c r="AE6" s="173"/>
      <c r="AF6" s="173">
        <v>-2.36</v>
      </c>
      <c r="AG6" s="18"/>
      <c r="AH6" s="18"/>
      <c r="AI6" s="18" t="s">
        <v>1275</v>
      </c>
      <c r="AJ6" s="18" t="s">
        <v>1286</v>
      </c>
      <c r="AK6" s="18"/>
      <c r="AL6" s="18" t="s">
        <v>1253</v>
      </c>
      <c r="AM6" s="18" t="s">
        <v>1264</v>
      </c>
      <c r="AN6" s="18">
        <v>1</v>
      </c>
      <c r="AO6" s="18">
        <v>1</v>
      </c>
      <c r="AP6" s="18">
        <v>1</v>
      </c>
      <c r="AQ6" s="18"/>
      <c r="AR6" s="18"/>
      <c r="AS6" s="18">
        <v>15400000</v>
      </c>
      <c r="AT6" s="18"/>
      <c r="AU6" s="18"/>
      <c r="AV6" s="18"/>
      <c r="AW6" s="18"/>
      <c r="AX6" s="18"/>
      <c r="AY6" s="8">
        <v>0.47770000000000001</v>
      </c>
      <c r="AZ6" s="8">
        <v>9.9999999999999995E-8</v>
      </c>
      <c r="BA6" s="8" t="s">
        <v>1390</v>
      </c>
    </row>
    <row r="7" spans="1:54">
      <c r="A7" s="173" t="s">
        <v>26</v>
      </c>
      <c r="B7" s="141" t="s">
        <v>1181</v>
      </c>
      <c r="C7" s="178" t="s">
        <v>1212</v>
      </c>
      <c r="D7" s="141" t="s">
        <v>1181</v>
      </c>
      <c r="E7" s="8" t="s">
        <v>1140</v>
      </c>
      <c r="F7" s="173" t="s">
        <v>141</v>
      </c>
      <c r="G7" s="173"/>
      <c r="H7" s="173"/>
      <c r="I7" s="173" t="s">
        <v>810</v>
      </c>
      <c r="J7" s="173">
        <v>4.05</v>
      </c>
      <c r="K7" s="173"/>
      <c r="L7" s="173">
        <v>1104</v>
      </c>
      <c r="M7" s="173">
        <v>556</v>
      </c>
      <c r="N7" s="173"/>
      <c r="O7" s="173"/>
      <c r="P7" s="173">
        <v>5</v>
      </c>
      <c r="Q7" s="176" t="s">
        <v>1184</v>
      </c>
      <c r="R7" s="178" t="s">
        <v>1215</v>
      </c>
      <c r="S7" s="173"/>
      <c r="T7" s="176" t="s">
        <v>1302</v>
      </c>
      <c r="U7" s="178" t="s">
        <v>1213</v>
      </c>
      <c r="V7" s="178" t="s">
        <v>1214</v>
      </c>
      <c r="W7" s="173" t="s">
        <v>1050</v>
      </c>
      <c r="X7" s="173"/>
      <c r="Y7" s="173"/>
      <c r="Z7" s="173"/>
      <c r="AA7" s="173"/>
      <c r="AB7" s="173">
        <v>1</v>
      </c>
      <c r="AC7" s="173"/>
      <c r="AD7" s="173">
        <v>1</v>
      </c>
      <c r="AE7" s="173"/>
      <c r="AF7" s="173">
        <v>54.98</v>
      </c>
      <c r="AG7" s="18"/>
      <c r="AH7" s="18"/>
      <c r="AI7" s="18" t="s">
        <v>1276</v>
      </c>
      <c r="AJ7" s="18" t="s">
        <v>1287</v>
      </c>
      <c r="AK7" s="18"/>
      <c r="AL7" s="18" t="s">
        <v>1254</v>
      </c>
      <c r="AM7" s="18" t="s">
        <v>1265</v>
      </c>
      <c r="AN7" s="18">
        <v>1</v>
      </c>
      <c r="AO7" s="18">
        <v>1</v>
      </c>
      <c r="AP7" s="18">
        <v>1</v>
      </c>
      <c r="AQ7" s="18"/>
      <c r="AR7" s="18"/>
      <c r="AS7" s="18">
        <v>15400000</v>
      </c>
      <c r="AT7" s="18"/>
      <c r="AU7" s="18"/>
      <c r="AV7" s="18"/>
      <c r="AW7" s="18"/>
      <c r="AX7" s="18"/>
      <c r="AY7" s="8">
        <v>0.47770000000000001</v>
      </c>
      <c r="AZ7" s="8">
        <v>9.9999999999999995E-8</v>
      </c>
      <c r="BA7" s="8" t="s">
        <v>1391</v>
      </c>
    </row>
    <row r="8" spans="1:54">
      <c r="A8" s="173" t="s">
        <v>26</v>
      </c>
      <c r="B8" s="141" t="s">
        <v>1182</v>
      </c>
      <c r="C8" s="178" t="s">
        <v>1129</v>
      </c>
      <c r="D8" s="141" t="s">
        <v>1182</v>
      </c>
      <c r="E8" s="8" t="s">
        <v>1140</v>
      </c>
      <c r="F8" s="173" t="s">
        <v>260</v>
      </c>
      <c r="G8" s="173" t="s">
        <v>255</v>
      </c>
      <c r="H8" s="173">
        <v>1</v>
      </c>
      <c r="I8" s="173" t="s">
        <v>810</v>
      </c>
      <c r="J8" s="173">
        <v>6.47</v>
      </c>
      <c r="K8" s="173"/>
      <c r="L8" s="173">
        <v>1137</v>
      </c>
      <c r="M8" s="173">
        <v>616</v>
      </c>
      <c r="N8" s="173"/>
      <c r="O8" s="173"/>
      <c r="P8" s="173">
        <v>5</v>
      </c>
      <c r="Q8" s="176" t="s">
        <v>1184</v>
      </c>
      <c r="R8" s="178" t="s">
        <v>1146</v>
      </c>
      <c r="S8" s="173"/>
      <c r="T8" s="176" t="s">
        <v>1188</v>
      </c>
      <c r="U8" s="178" t="s">
        <v>1162</v>
      </c>
      <c r="V8" s="178" t="s">
        <v>1129</v>
      </c>
      <c r="W8" s="173" t="s">
        <v>1050</v>
      </c>
      <c r="X8" s="173"/>
      <c r="Y8" s="173"/>
      <c r="Z8" s="173"/>
      <c r="AA8" s="173"/>
      <c r="AB8" s="173"/>
      <c r="AC8" s="173"/>
      <c r="AD8" s="173">
        <v>1</v>
      </c>
      <c r="AE8" s="173"/>
      <c r="AF8" s="173">
        <v>-43.6</v>
      </c>
      <c r="AG8" s="18"/>
      <c r="AH8" s="18"/>
      <c r="AI8" s="18" t="s">
        <v>1277</v>
      </c>
      <c r="AJ8" s="18" t="s">
        <v>1294</v>
      </c>
      <c r="AK8" s="18" t="s">
        <v>1289</v>
      </c>
      <c r="AL8" s="18" t="s">
        <v>1255</v>
      </c>
      <c r="AM8" s="18" t="s">
        <v>1266</v>
      </c>
      <c r="AN8" s="18">
        <v>1</v>
      </c>
      <c r="AO8" s="18">
        <v>1</v>
      </c>
      <c r="AP8" s="18">
        <v>1</v>
      </c>
      <c r="AQ8" s="18"/>
      <c r="AR8" s="18"/>
      <c r="AS8" s="18">
        <v>15400000</v>
      </c>
      <c r="AT8" s="18"/>
      <c r="AU8" s="18"/>
      <c r="AV8" s="18"/>
      <c r="AW8" s="18"/>
      <c r="AX8" s="18"/>
      <c r="AY8" s="8">
        <v>0.47770000000000001</v>
      </c>
      <c r="AZ8" s="8">
        <v>9.9999999999999995E-8</v>
      </c>
      <c r="BA8" s="8" t="s">
        <v>1392</v>
      </c>
    </row>
    <row r="9" spans="1:54">
      <c r="A9" s="173" t="s">
        <v>26</v>
      </c>
      <c r="B9" s="141" t="s">
        <v>1189</v>
      </c>
      <c r="C9" s="178" t="s">
        <v>1130</v>
      </c>
      <c r="D9" s="141" t="s">
        <v>1189</v>
      </c>
      <c r="E9" s="8" t="s">
        <v>1211</v>
      </c>
      <c r="F9" s="173" t="s">
        <v>260</v>
      </c>
      <c r="G9" s="173" t="s">
        <v>255</v>
      </c>
      <c r="H9" s="173">
        <v>1</v>
      </c>
      <c r="I9" s="173" t="s">
        <v>810</v>
      </c>
      <c r="J9" s="173">
        <v>6.72</v>
      </c>
      <c r="K9" s="173"/>
      <c r="L9" s="173">
        <v>1056</v>
      </c>
      <c r="M9" s="173">
        <v>536</v>
      </c>
      <c r="N9" s="173"/>
      <c r="O9" s="173"/>
      <c r="P9" s="173">
        <v>5</v>
      </c>
      <c r="Q9" s="176" t="s">
        <v>1299</v>
      </c>
      <c r="R9" s="178" t="s">
        <v>1147</v>
      </c>
      <c r="S9" s="173"/>
      <c r="T9" s="176" t="s">
        <v>1196</v>
      </c>
      <c r="U9" s="178" t="s">
        <v>1163</v>
      </c>
      <c r="V9" s="178" t="s">
        <v>1130</v>
      </c>
      <c r="W9" s="173" t="s">
        <v>1050</v>
      </c>
      <c r="X9" s="173"/>
      <c r="Y9" s="173"/>
      <c r="Z9" s="173"/>
      <c r="AA9" s="173"/>
      <c r="AB9" s="173"/>
      <c r="AC9" s="173"/>
      <c r="AD9" s="173">
        <v>1</v>
      </c>
      <c r="AE9" s="173"/>
      <c r="AF9" s="173">
        <v>125</v>
      </c>
      <c r="AG9" s="18"/>
      <c r="AH9" s="18"/>
      <c r="AI9" s="18" t="s">
        <v>1278</v>
      </c>
      <c r="AJ9" s="18" t="s">
        <v>1295</v>
      </c>
      <c r="AK9" s="18" t="s">
        <v>1290</v>
      </c>
      <c r="AL9" s="18" t="s">
        <v>1256</v>
      </c>
      <c r="AM9" s="18" t="s">
        <v>1267</v>
      </c>
      <c r="AN9" s="18">
        <v>1</v>
      </c>
      <c r="AO9" s="18">
        <v>1</v>
      </c>
      <c r="AP9" s="18">
        <v>1</v>
      </c>
      <c r="AQ9" s="18"/>
      <c r="AR9" s="18"/>
      <c r="AS9" s="18">
        <v>15400000</v>
      </c>
      <c r="AT9" s="18"/>
      <c r="AU9" s="18"/>
      <c r="AV9" s="18"/>
      <c r="AW9" s="18"/>
      <c r="AX9" s="18"/>
      <c r="AY9" s="8">
        <v>0.47770000000000001</v>
      </c>
      <c r="AZ9" s="8">
        <v>9.9999999999999995E-8</v>
      </c>
      <c r="BA9" s="8" t="s">
        <v>1386</v>
      </c>
    </row>
    <row r="10" spans="1:54">
      <c r="A10" s="173" t="s">
        <v>26</v>
      </c>
      <c r="B10" s="141" t="s">
        <v>1190</v>
      </c>
      <c r="C10" s="178" t="s">
        <v>1131</v>
      </c>
      <c r="D10" s="141" t="s">
        <v>1190</v>
      </c>
      <c r="E10" s="8" t="s">
        <v>1211</v>
      </c>
      <c r="F10" s="173" t="s">
        <v>168</v>
      </c>
      <c r="G10" s="173"/>
      <c r="H10" s="173"/>
      <c r="I10" s="173" t="s">
        <v>810</v>
      </c>
      <c r="J10" s="173">
        <v>34.14</v>
      </c>
      <c r="K10" s="173"/>
      <c r="L10" s="173">
        <v>883</v>
      </c>
      <c r="M10" s="173">
        <v>602</v>
      </c>
      <c r="N10" s="173"/>
      <c r="O10" s="173"/>
      <c r="P10" s="173">
        <v>5</v>
      </c>
      <c r="Q10" s="176" t="s">
        <v>1299</v>
      </c>
      <c r="R10" s="178" t="s">
        <v>1148</v>
      </c>
      <c r="S10" s="173"/>
      <c r="T10" s="176" t="s">
        <v>1197</v>
      </c>
      <c r="U10" s="178" t="s">
        <v>1164</v>
      </c>
      <c r="V10" s="178" t="s">
        <v>1131</v>
      </c>
      <c r="W10" s="173" t="s">
        <v>1050</v>
      </c>
      <c r="X10" s="173"/>
      <c r="Y10" s="173"/>
      <c r="Z10" s="173"/>
      <c r="AA10" s="173"/>
      <c r="AB10" s="173"/>
      <c r="AC10" s="173"/>
      <c r="AD10" s="173">
        <v>1</v>
      </c>
      <c r="AE10" s="173"/>
      <c r="AF10" s="173">
        <v>-4.18</v>
      </c>
      <c r="AG10" s="18"/>
      <c r="AH10" s="18"/>
      <c r="AI10" s="18" t="s">
        <v>1279</v>
      </c>
      <c r="AJ10" s="18" t="s">
        <v>1288</v>
      </c>
      <c r="AK10" s="18"/>
      <c r="AL10" s="18" t="s">
        <v>1257</v>
      </c>
      <c r="AM10" s="18" t="s">
        <v>1268</v>
      </c>
      <c r="AN10" s="18">
        <v>1</v>
      </c>
      <c r="AO10" s="18">
        <v>1</v>
      </c>
      <c r="AP10" s="18">
        <v>1</v>
      </c>
      <c r="AQ10" s="18"/>
      <c r="AR10" s="18"/>
      <c r="AS10" s="18">
        <v>15400000</v>
      </c>
      <c r="AT10" s="18"/>
      <c r="AU10" s="18"/>
      <c r="AV10" s="18"/>
      <c r="AW10" s="18"/>
      <c r="AX10" s="18"/>
      <c r="AY10" s="8">
        <v>0.47770000000000001</v>
      </c>
      <c r="AZ10" s="8">
        <v>9.9999999999999995E-8</v>
      </c>
      <c r="BA10" s="8" t="s">
        <v>1387</v>
      </c>
    </row>
    <row r="11" spans="1:54">
      <c r="A11" s="173" t="s">
        <v>26</v>
      </c>
      <c r="B11" s="141" t="s">
        <v>1191</v>
      </c>
      <c r="C11" s="178" t="s">
        <v>1132</v>
      </c>
      <c r="D11" s="141" t="s">
        <v>1191</v>
      </c>
      <c r="E11" s="8" t="s">
        <v>1211</v>
      </c>
      <c r="F11" s="173" t="s">
        <v>260</v>
      </c>
      <c r="G11" s="173" t="s">
        <v>141</v>
      </c>
      <c r="H11" s="173">
        <v>1</v>
      </c>
      <c r="I11" s="173" t="s">
        <v>810</v>
      </c>
      <c r="J11" s="173">
        <v>7.17</v>
      </c>
      <c r="K11" s="173"/>
      <c r="L11" s="173">
        <v>882</v>
      </c>
      <c r="M11" s="173">
        <v>601</v>
      </c>
      <c r="N11" s="173"/>
      <c r="O11" s="173"/>
      <c r="P11" s="173">
        <v>5</v>
      </c>
      <c r="Q11" s="176" t="s">
        <v>1299</v>
      </c>
      <c r="R11" s="178" t="s">
        <v>1149</v>
      </c>
      <c r="S11" s="173"/>
      <c r="T11" s="176" t="s">
        <v>1198</v>
      </c>
      <c r="U11" s="178" t="s">
        <v>1165</v>
      </c>
      <c r="V11" s="178" t="s">
        <v>1132</v>
      </c>
      <c r="W11" s="173" t="s">
        <v>1050</v>
      </c>
      <c r="X11" s="173"/>
      <c r="Y11" s="173"/>
      <c r="Z11" s="173"/>
      <c r="AA11" s="173"/>
      <c r="AB11" s="173">
        <v>1</v>
      </c>
      <c r="AC11" s="173"/>
      <c r="AD11" s="173">
        <v>1</v>
      </c>
      <c r="AE11" s="173"/>
      <c r="AF11" s="173">
        <v>56.9</v>
      </c>
      <c r="AG11" s="18"/>
      <c r="AH11" s="18"/>
      <c r="AI11" s="18" t="s">
        <v>1280</v>
      </c>
      <c r="AJ11" s="18" t="s">
        <v>1296</v>
      </c>
      <c r="AK11" s="18" t="s">
        <v>1291</v>
      </c>
      <c r="AL11" s="18" t="s">
        <v>1258</v>
      </c>
      <c r="AM11" s="18" t="s">
        <v>1269</v>
      </c>
      <c r="AN11" s="18">
        <v>1</v>
      </c>
      <c r="AO11" s="18">
        <v>1</v>
      </c>
      <c r="AP11" s="18">
        <v>1</v>
      </c>
      <c r="AQ11" s="18"/>
      <c r="AR11" s="18"/>
      <c r="AS11" s="18">
        <v>15400000</v>
      </c>
      <c r="AT11" s="18"/>
      <c r="AU11" s="18"/>
      <c r="AV11" s="18"/>
      <c r="AW11" s="18"/>
      <c r="AX11" s="18"/>
      <c r="AY11" s="8">
        <v>0.47770000000000001</v>
      </c>
      <c r="AZ11" s="8">
        <v>9.9999999999999995E-8</v>
      </c>
      <c r="BA11" s="8" t="s">
        <v>1388</v>
      </c>
    </row>
    <row r="12" spans="1:54">
      <c r="A12" s="173" t="s">
        <v>26</v>
      </c>
      <c r="B12" s="141" t="s">
        <v>1192</v>
      </c>
      <c r="C12" s="178" t="s">
        <v>1133</v>
      </c>
      <c r="D12" s="141" t="s">
        <v>1192</v>
      </c>
      <c r="E12" s="8" t="s">
        <v>1211</v>
      </c>
      <c r="F12" s="173" t="s">
        <v>260</v>
      </c>
      <c r="G12" s="173" t="s">
        <v>141</v>
      </c>
      <c r="H12" s="173">
        <v>2</v>
      </c>
      <c r="I12" s="173" t="s">
        <v>810</v>
      </c>
      <c r="J12" s="173">
        <v>9.58</v>
      </c>
      <c r="K12" s="173"/>
      <c r="L12" s="173">
        <v>833</v>
      </c>
      <c r="M12" s="173">
        <v>510</v>
      </c>
      <c r="N12" s="173"/>
      <c r="O12" s="173"/>
      <c r="P12" s="173">
        <v>5</v>
      </c>
      <c r="Q12" s="176" t="s">
        <v>1299</v>
      </c>
      <c r="R12" s="178" t="s">
        <v>1150</v>
      </c>
      <c r="S12" s="173"/>
      <c r="T12" s="176" t="s">
        <v>1199</v>
      </c>
      <c r="U12" s="178" t="s">
        <v>1166</v>
      </c>
      <c r="V12" s="178" t="s">
        <v>1133</v>
      </c>
      <c r="W12" s="173" t="s">
        <v>1050</v>
      </c>
      <c r="X12" s="173"/>
      <c r="Y12" s="173"/>
      <c r="Z12" s="173"/>
      <c r="AA12" s="173"/>
      <c r="AB12" s="173"/>
      <c r="AC12" s="173"/>
      <c r="AD12" s="173">
        <v>1</v>
      </c>
      <c r="AE12" s="173"/>
      <c r="AF12" s="173">
        <v>0</v>
      </c>
      <c r="AG12" s="18"/>
      <c r="AH12" s="18"/>
      <c r="AI12" s="18" t="s">
        <v>1281</v>
      </c>
      <c r="AJ12" s="18" t="s">
        <v>1297</v>
      </c>
      <c r="AK12" s="18" t="s">
        <v>1292</v>
      </c>
      <c r="AL12" s="18" t="s">
        <v>1259</v>
      </c>
      <c r="AM12" s="18" t="s">
        <v>1270</v>
      </c>
      <c r="AN12" s="18">
        <v>1</v>
      </c>
      <c r="AO12" s="18">
        <v>1</v>
      </c>
      <c r="AP12" s="18">
        <v>1</v>
      </c>
      <c r="AQ12" s="18"/>
      <c r="AR12" s="18"/>
      <c r="AS12" s="18">
        <v>15400000</v>
      </c>
      <c r="AT12" s="18"/>
      <c r="AU12" s="18"/>
      <c r="AV12" s="18"/>
      <c r="AW12" s="18"/>
      <c r="AX12" s="18"/>
      <c r="AY12" s="8">
        <v>0.47770000000000001</v>
      </c>
      <c r="AZ12" s="8">
        <v>9.9999999999999995E-8</v>
      </c>
      <c r="BA12" s="8" t="s">
        <v>1389</v>
      </c>
    </row>
    <row r="13" spans="1:54">
      <c r="A13" s="173" t="s">
        <v>26</v>
      </c>
      <c r="B13" s="141" t="s">
        <v>1193</v>
      </c>
      <c r="C13" s="178" t="s">
        <v>1134</v>
      </c>
      <c r="D13" s="141" t="s">
        <v>1193</v>
      </c>
      <c r="E13" s="8" t="s">
        <v>1211</v>
      </c>
      <c r="F13" s="173" t="s">
        <v>168</v>
      </c>
      <c r="G13" s="173" t="s">
        <v>141</v>
      </c>
      <c r="H13" s="173">
        <v>1</v>
      </c>
      <c r="I13" s="173" t="s">
        <v>810</v>
      </c>
      <c r="J13" s="173">
        <v>7.71</v>
      </c>
      <c r="K13" s="173"/>
      <c r="L13" s="173">
        <v>958</v>
      </c>
      <c r="M13" s="173">
        <v>536</v>
      </c>
      <c r="N13" s="173"/>
      <c r="O13" s="173"/>
      <c r="P13" s="173">
        <v>5</v>
      </c>
      <c r="Q13" s="176" t="s">
        <v>1299</v>
      </c>
      <c r="R13" s="178" t="s">
        <v>1151</v>
      </c>
      <c r="S13" s="173"/>
      <c r="T13" s="176" t="s">
        <v>1200</v>
      </c>
      <c r="U13" s="178" t="s">
        <v>1167</v>
      </c>
      <c r="V13" s="178" t="s">
        <v>1134</v>
      </c>
      <c r="W13" s="173" t="s">
        <v>1050</v>
      </c>
      <c r="X13" s="173"/>
      <c r="Y13" s="173"/>
      <c r="Z13" s="173"/>
      <c r="AA13" s="173"/>
      <c r="AB13" s="173"/>
      <c r="AC13" s="173"/>
      <c r="AD13" s="173">
        <v>1</v>
      </c>
      <c r="AE13" s="173"/>
      <c r="AF13" s="173">
        <v>126.76</v>
      </c>
      <c r="AG13" s="18"/>
      <c r="AH13" s="18"/>
      <c r="AI13" s="18" t="s">
        <v>1282</v>
      </c>
      <c r="AJ13" s="18" t="s">
        <v>1298</v>
      </c>
      <c r="AK13" s="18" t="s">
        <v>1293</v>
      </c>
      <c r="AL13" s="18" t="s">
        <v>1260</v>
      </c>
      <c r="AM13" s="18" t="s">
        <v>1271</v>
      </c>
      <c r="AN13" s="18">
        <v>1</v>
      </c>
      <c r="AO13" s="18">
        <v>1</v>
      </c>
      <c r="AP13" s="18">
        <v>1</v>
      </c>
      <c r="AQ13" s="18"/>
      <c r="AR13" s="18"/>
      <c r="AS13" s="18">
        <v>15400000</v>
      </c>
      <c r="AT13" s="18"/>
      <c r="AU13" s="18"/>
      <c r="AV13" s="18"/>
      <c r="AW13" s="18"/>
      <c r="AX13" s="18"/>
      <c r="AY13" s="8">
        <v>0.47770000000000001</v>
      </c>
      <c r="AZ13" s="8">
        <v>9.9999999999999995E-8</v>
      </c>
      <c r="BA13" s="8" t="s">
        <v>1390</v>
      </c>
    </row>
    <row r="14" spans="1:54">
      <c r="A14" s="173" t="s">
        <v>26</v>
      </c>
      <c r="B14" s="141" t="s">
        <v>1194</v>
      </c>
      <c r="C14" s="178" t="s">
        <v>1135</v>
      </c>
      <c r="D14" s="141" t="s">
        <v>1194</v>
      </c>
      <c r="E14" s="8" t="s">
        <v>1211</v>
      </c>
      <c r="F14" s="24" t="s">
        <v>260</v>
      </c>
      <c r="G14" s="24" t="s">
        <v>141</v>
      </c>
      <c r="H14" s="24">
        <v>2</v>
      </c>
      <c r="I14" s="173" t="s">
        <v>810</v>
      </c>
      <c r="J14" s="24">
        <v>2.12</v>
      </c>
      <c r="K14" s="24"/>
      <c r="L14" s="24">
        <v>1106</v>
      </c>
      <c r="M14" s="24">
        <v>809</v>
      </c>
      <c r="N14" s="24"/>
      <c r="O14" s="24"/>
      <c r="P14" s="39">
        <v>1</v>
      </c>
      <c r="Q14" s="176" t="s">
        <v>1299</v>
      </c>
      <c r="R14" s="178" t="s">
        <v>1152</v>
      </c>
      <c r="S14" s="24"/>
      <c r="T14" s="176" t="s">
        <v>1201</v>
      </c>
      <c r="U14" s="178" t="s">
        <v>1168</v>
      </c>
      <c r="V14" s="178" t="s">
        <v>1135</v>
      </c>
      <c r="W14" s="173" t="s">
        <v>1050</v>
      </c>
      <c r="X14" s="24"/>
      <c r="Y14" s="24"/>
      <c r="Z14" s="24"/>
      <c r="AA14" s="24"/>
      <c r="AB14" s="24"/>
      <c r="AC14" s="24"/>
      <c r="AD14" s="24">
        <v>1</v>
      </c>
      <c r="AE14" s="24"/>
      <c r="AF14" s="25">
        <v>-58.3</v>
      </c>
      <c r="AG14" s="25"/>
      <c r="AH14" s="25"/>
      <c r="AI14" s="18" t="s">
        <v>1218</v>
      </c>
      <c r="AJ14" s="18" t="s">
        <v>1232</v>
      </c>
      <c r="AK14" s="18" t="s">
        <v>1231</v>
      </c>
      <c r="AL14" s="173" t="s">
        <v>1233</v>
      </c>
      <c r="AM14" s="173" t="s">
        <v>1236</v>
      </c>
      <c r="AN14" s="25">
        <v>1</v>
      </c>
      <c r="AO14" s="25">
        <v>1</v>
      </c>
      <c r="AP14" s="25">
        <v>1</v>
      </c>
      <c r="AQ14" s="25"/>
      <c r="AR14" s="25"/>
      <c r="AS14" s="18">
        <v>15400000</v>
      </c>
      <c r="AT14" s="25"/>
      <c r="AU14" s="25"/>
      <c r="AV14" s="25"/>
      <c r="AW14" s="18"/>
      <c r="AX14" s="18"/>
      <c r="AY14" s="8">
        <v>0.47770000000000001</v>
      </c>
      <c r="AZ14" s="8">
        <v>9.9999999999999995E-8</v>
      </c>
      <c r="BA14" s="8" t="s">
        <v>1391</v>
      </c>
    </row>
    <row r="15" spans="1:54">
      <c r="A15" s="173" t="s">
        <v>26</v>
      </c>
      <c r="B15" s="141" t="s">
        <v>1195</v>
      </c>
      <c r="C15" s="178" t="s">
        <v>1136</v>
      </c>
      <c r="D15" s="141" t="s">
        <v>1195</v>
      </c>
      <c r="E15" s="8" t="s">
        <v>1211</v>
      </c>
      <c r="F15" s="173" t="s">
        <v>260</v>
      </c>
      <c r="G15" s="173"/>
      <c r="H15" s="173"/>
      <c r="I15" s="173" t="s">
        <v>810</v>
      </c>
      <c r="J15" s="173">
        <v>14.37</v>
      </c>
      <c r="K15" s="173"/>
      <c r="L15" s="173">
        <v>920</v>
      </c>
      <c r="M15" s="173">
        <v>774</v>
      </c>
      <c r="N15" s="173"/>
      <c r="O15" s="173"/>
      <c r="P15" s="173">
        <v>5</v>
      </c>
      <c r="Q15" s="176" t="s">
        <v>1299</v>
      </c>
      <c r="R15" s="178" t="s">
        <v>1153</v>
      </c>
      <c r="S15" s="173"/>
      <c r="T15" s="176" t="s">
        <v>1202</v>
      </c>
      <c r="U15" s="178" t="s">
        <v>1169</v>
      </c>
      <c r="V15" s="178" t="s">
        <v>1136</v>
      </c>
      <c r="W15" s="173" t="s">
        <v>1050</v>
      </c>
      <c r="X15" s="173"/>
      <c r="Y15" s="173"/>
      <c r="Z15" s="173"/>
      <c r="AA15" s="173"/>
      <c r="AB15" s="173"/>
      <c r="AC15" s="173"/>
      <c r="AD15" s="173"/>
      <c r="AE15" s="173"/>
      <c r="AF15" s="18"/>
      <c r="AG15" s="18"/>
      <c r="AH15" s="18"/>
      <c r="AI15" s="18" t="s">
        <v>1219</v>
      </c>
      <c r="AJ15" s="18" t="s">
        <v>1221</v>
      </c>
      <c r="AK15" s="18"/>
      <c r="AL15" s="173" t="s">
        <v>1234</v>
      </c>
      <c r="AM15" s="173" t="s">
        <v>1237</v>
      </c>
      <c r="AN15" s="18">
        <v>1</v>
      </c>
      <c r="AO15" s="18">
        <v>1</v>
      </c>
      <c r="AP15" s="18">
        <v>1</v>
      </c>
      <c r="AQ15" s="18"/>
      <c r="AR15" s="18"/>
      <c r="AS15" s="18">
        <v>15400000</v>
      </c>
      <c r="AT15" s="18"/>
      <c r="AU15" s="18"/>
      <c r="AV15" s="18"/>
      <c r="AW15" s="18"/>
      <c r="AX15" s="18"/>
      <c r="AY15" s="8">
        <v>0.47770000000000001</v>
      </c>
      <c r="AZ15" s="8">
        <v>9.9999999999999995E-8</v>
      </c>
      <c r="BA15" s="8" t="s">
        <v>1392</v>
      </c>
    </row>
    <row r="16" spans="1:54">
      <c r="A16" s="173" t="s">
        <v>26</v>
      </c>
      <c r="B16" s="175" t="s">
        <v>1303</v>
      </c>
      <c r="C16" s="31" t="s">
        <v>1043</v>
      </c>
      <c r="D16" s="141" t="s">
        <v>1003</v>
      </c>
      <c r="E16" s="29" t="s">
        <v>1045</v>
      </c>
      <c r="F16" s="173" t="s">
        <v>34</v>
      </c>
      <c r="G16" s="173"/>
      <c r="H16" s="173"/>
      <c r="I16" s="173" t="s">
        <v>810</v>
      </c>
      <c r="J16" s="173">
        <v>30</v>
      </c>
      <c r="K16" s="173"/>
      <c r="L16" s="173">
        <v>942</v>
      </c>
      <c r="M16" s="173">
        <v>514</v>
      </c>
      <c r="N16" s="173"/>
      <c r="O16" s="173"/>
      <c r="P16" s="173">
        <v>5</v>
      </c>
      <c r="Q16" s="176" t="s">
        <v>1012</v>
      </c>
      <c r="R16" s="173" t="s">
        <v>1028</v>
      </c>
      <c r="S16" s="173"/>
      <c r="T16" s="176" t="s">
        <v>1010</v>
      </c>
      <c r="U16" s="179" t="s">
        <v>1036</v>
      </c>
      <c r="V16" s="173" t="s">
        <v>1032</v>
      </c>
      <c r="W16" s="173" t="s">
        <v>1050</v>
      </c>
      <c r="X16" s="173"/>
      <c r="Y16" s="173"/>
      <c r="Z16" s="173"/>
      <c r="AA16" s="173"/>
      <c r="AB16" s="173"/>
      <c r="AC16" s="173"/>
      <c r="AD16" s="173"/>
      <c r="AE16" s="173"/>
      <c r="AF16" s="18"/>
      <c r="AG16" s="18"/>
      <c r="AH16" s="18"/>
      <c r="AI16" s="18" t="s">
        <v>1062</v>
      </c>
      <c r="AJ16" s="18" t="s">
        <v>1067</v>
      </c>
      <c r="AK16" s="18"/>
      <c r="AL16" s="173" t="s">
        <v>1080</v>
      </c>
      <c r="AM16" s="173" t="s">
        <v>1085</v>
      </c>
      <c r="AN16" s="18">
        <v>1</v>
      </c>
      <c r="AO16" s="18">
        <v>1</v>
      </c>
      <c r="AP16" s="18">
        <v>1</v>
      </c>
      <c r="AQ16" s="18"/>
      <c r="AR16" s="18"/>
      <c r="AS16" s="18">
        <v>15400000</v>
      </c>
      <c r="AT16" s="18"/>
      <c r="AU16" s="18"/>
      <c r="AV16" s="18"/>
      <c r="AW16" s="18"/>
      <c r="AX16" s="18"/>
      <c r="AY16" s="8">
        <v>0.47770000000000001</v>
      </c>
      <c r="AZ16" s="8">
        <v>9.9999999999999995E-8</v>
      </c>
      <c r="BA16" s="8" t="s">
        <v>1386</v>
      </c>
      <c r="BB16" s="173" t="s">
        <v>739</v>
      </c>
    </row>
    <row r="17" spans="1:54">
      <c r="A17" s="173" t="s">
        <v>26</v>
      </c>
      <c r="B17" s="141" t="s">
        <v>1204</v>
      </c>
      <c r="C17" s="178" t="s">
        <v>1137</v>
      </c>
      <c r="D17" s="141" t="s">
        <v>1204</v>
      </c>
      <c r="E17" s="29" t="s">
        <v>1045</v>
      </c>
      <c r="F17" s="173" t="s">
        <v>260</v>
      </c>
      <c r="G17" s="173"/>
      <c r="H17" s="173"/>
      <c r="I17" s="173" t="s">
        <v>810</v>
      </c>
      <c r="J17" s="173">
        <v>13.37</v>
      </c>
      <c r="K17" s="173"/>
      <c r="L17" s="173">
        <v>985</v>
      </c>
      <c r="M17" s="173">
        <v>767</v>
      </c>
      <c r="N17" s="173"/>
      <c r="O17" s="173"/>
      <c r="P17" s="173">
        <v>5</v>
      </c>
      <c r="Q17" s="176" t="s">
        <v>1011</v>
      </c>
      <c r="R17" s="178" t="s">
        <v>1154</v>
      </c>
      <c r="S17" s="173"/>
      <c r="T17" s="176" t="s">
        <v>1203</v>
      </c>
      <c r="U17" s="178" t="s">
        <v>1170</v>
      </c>
      <c r="V17" s="178" t="s">
        <v>1137</v>
      </c>
      <c r="W17" s="173" t="s">
        <v>1050</v>
      </c>
      <c r="X17" s="173"/>
      <c r="Y17" s="173"/>
      <c r="Z17" s="173"/>
      <c r="AA17" s="173"/>
      <c r="AB17" s="173"/>
      <c r="AC17" s="173"/>
      <c r="AD17" s="173"/>
      <c r="AE17" s="173"/>
      <c r="AF17" s="18"/>
      <c r="AG17" s="18"/>
      <c r="AH17" s="18"/>
      <c r="AI17" s="18" t="s">
        <v>1220</v>
      </c>
      <c r="AJ17" s="18" t="s">
        <v>1222</v>
      </c>
      <c r="AK17" s="18"/>
      <c r="AL17" s="173" t="s">
        <v>1235</v>
      </c>
      <c r="AM17" s="173" t="s">
        <v>1238</v>
      </c>
      <c r="AN17" s="18">
        <v>1</v>
      </c>
      <c r="AO17" s="18">
        <v>1</v>
      </c>
      <c r="AP17" s="18">
        <v>1</v>
      </c>
      <c r="AQ17" s="18"/>
      <c r="AR17" s="18"/>
      <c r="AS17" s="18">
        <v>15400000</v>
      </c>
      <c r="AT17" s="18"/>
      <c r="AU17" s="18"/>
      <c r="AV17" s="18"/>
      <c r="AW17" s="18"/>
      <c r="AX17" s="18"/>
      <c r="AY17" s="8">
        <v>0.47770000000000001</v>
      </c>
      <c r="AZ17" s="8">
        <v>9.9999999999999995E-8</v>
      </c>
      <c r="BA17" s="8" t="s">
        <v>1387</v>
      </c>
    </row>
    <row r="18" spans="1:54">
      <c r="A18" s="173" t="s">
        <v>26</v>
      </c>
      <c r="B18" s="141" t="s">
        <v>1205</v>
      </c>
      <c r="C18" s="178" t="s">
        <v>1138</v>
      </c>
      <c r="D18" s="141" t="s">
        <v>1205</v>
      </c>
      <c r="E18" s="29" t="s">
        <v>1045</v>
      </c>
      <c r="F18" s="39" t="s">
        <v>501</v>
      </c>
      <c r="G18" s="39"/>
      <c r="H18" s="39"/>
      <c r="I18" s="173" t="s">
        <v>810</v>
      </c>
      <c r="J18" s="39">
        <v>3.4</v>
      </c>
      <c r="K18" s="39"/>
      <c r="L18" s="39">
        <v>812</v>
      </c>
      <c r="M18" s="39">
        <v>1622</v>
      </c>
      <c r="N18" s="39"/>
      <c r="O18" s="39"/>
      <c r="P18" s="39">
        <v>1</v>
      </c>
      <c r="Q18" s="176" t="s">
        <v>1011</v>
      </c>
      <c r="R18" s="178" t="s">
        <v>1155</v>
      </c>
      <c r="S18" s="39"/>
      <c r="T18" s="176" t="s">
        <v>1208</v>
      </c>
      <c r="U18" s="178" t="s">
        <v>1171</v>
      </c>
      <c r="V18" s="178" t="s">
        <v>1138</v>
      </c>
      <c r="W18" s="173" t="s">
        <v>1050</v>
      </c>
      <c r="X18" s="39"/>
      <c r="Y18" s="39"/>
      <c r="Z18" s="39"/>
      <c r="AA18" s="39"/>
      <c r="AB18" s="39"/>
      <c r="AC18" s="39"/>
      <c r="AD18" s="39">
        <v>1</v>
      </c>
      <c r="AE18" s="39"/>
      <c r="AF18" s="10">
        <v>0</v>
      </c>
      <c r="AG18" s="10"/>
      <c r="AH18" s="10">
        <v>-8.3000000000000007</v>
      </c>
      <c r="AI18" s="18" t="s">
        <v>1223</v>
      </c>
      <c r="AJ18" s="18" t="s">
        <v>1226</v>
      </c>
      <c r="AK18" s="10"/>
      <c r="AL18" s="173" t="s">
        <v>1239</v>
      </c>
      <c r="AM18" s="173" t="s">
        <v>1240</v>
      </c>
      <c r="AN18" s="10">
        <v>1</v>
      </c>
      <c r="AO18" s="10">
        <v>1</v>
      </c>
      <c r="AP18" s="10">
        <v>1</v>
      </c>
      <c r="AQ18" s="10">
        <v>1</v>
      </c>
      <c r="AR18" s="10"/>
      <c r="AS18" s="18">
        <v>15400000</v>
      </c>
      <c r="AT18" s="10"/>
      <c r="AU18" s="10"/>
      <c r="AV18" s="10"/>
      <c r="AW18" s="18"/>
      <c r="AX18" s="18"/>
      <c r="AY18" s="8">
        <v>0.47770000000000001</v>
      </c>
      <c r="AZ18" s="8">
        <v>9.9999999999999995E-8</v>
      </c>
      <c r="BA18" s="8" t="s">
        <v>1388</v>
      </c>
    </row>
    <row r="19" spans="1:54">
      <c r="A19" s="173" t="s">
        <v>26</v>
      </c>
      <c r="B19" s="141" t="s">
        <v>1206</v>
      </c>
      <c r="C19" s="178" t="s">
        <v>1139</v>
      </c>
      <c r="D19" s="141" t="s">
        <v>1206</v>
      </c>
      <c r="E19" s="29" t="s">
        <v>1045</v>
      </c>
      <c r="F19" s="39" t="s">
        <v>255</v>
      </c>
      <c r="G19" s="39" t="s">
        <v>501</v>
      </c>
      <c r="H19" s="39">
        <v>2</v>
      </c>
      <c r="I19" s="173" t="s">
        <v>810</v>
      </c>
      <c r="J19" s="39">
        <v>1.83</v>
      </c>
      <c r="K19" s="39"/>
      <c r="L19" s="8">
        <v>1071</v>
      </c>
      <c r="M19" s="8">
        <v>433</v>
      </c>
      <c r="N19" s="39"/>
      <c r="O19" s="39"/>
      <c r="P19" s="39">
        <v>1</v>
      </c>
      <c r="Q19" s="176" t="s">
        <v>1011</v>
      </c>
      <c r="R19" s="178" t="s">
        <v>1156</v>
      </c>
      <c r="S19" s="39"/>
      <c r="T19" s="176" t="s">
        <v>1209</v>
      </c>
      <c r="U19" s="178" t="s">
        <v>1172</v>
      </c>
      <c r="V19" s="178" t="s">
        <v>1139</v>
      </c>
      <c r="W19" s="173" t="s">
        <v>1050</v>
      </c>
      <c r="X19" s="39"/>
      <c r="Y19" s="39"/>
      <c r="Z19" s="39"/>
      <c r="AA19" s="39"/>
      <c r="AB19" s="39"/>
      <c r="AC19" s="39"/>
      <c r="AD19" s="39">
        <v>1</v>
      </c>
      <c r="AE19" s="39"/>
      <c r="AF19" s="10">
        <v>6.1</v>
      </c>
      <c r="AG19" s="10"/>
      <c r="AH19" s="10">
        <v>1.2</v>
      </c>
      <c r="AI19" s="18" t="s">
        <v>1224</v>
      </c>
      <c r="AJ19" s="18" t="s">
        <v>1227</v>
      </c>
      <c r="AK19" s="18" t="s">
        <v>1229</v>
      </c>
      <c r="AL19" s="173" t="s">
        <v>1241</v>
      </c>
      <c r="AM19" s="173" t="s">
        <v>1242</v>
      </c>
      <c r="AN19" s="10">
        <v>1</v>
      </c>
      <c r="AO19" s="10">
        <v>1</v>
      </c>
      <c r="AP19" s="10">
        <v>1</v>
      </c>
      <c r="AQ19" s="10">
        <v>1</v>
      </c>
      <c r="AR19" s="10"/>
      <c r="AS19" s="18">
        <v>15400000</v>
      </c>
      <c r="AT19" s="10"/>
      <c r="AU19" s="10"/>
      <c r="AV19" s="10"/>
      <c r="AW19" s="18"/>
      <c r="AX19" s="18"/>
      <c r="AY19" s="8">
        <v>0.47770000000000001</v>
      </c>
      <c r="AZ19" s="8">
        <v>9.9999999999999995E-8</v>
      </c>
      <c r="BA19" s="8" t="s">
        <v>1389</v>
      </c>
    </row>
    <row r="20" spans="1:54">
      <c r="A20" s="173" t="s">
        <v>26</v>
      </c>
      <c r="B20" s="141" t="s">
        <v>1207</v>
      </c>
      <c r="C20" s="178" t="s">
        <v>1313</v>
      </c>
      <c r="D20" s="141" t="s">
        <v>1207</v>
      </c>
      <c r="E20" s="29" t="s">
        <v>1045</v>
      </c>
      <c r="F20" s="42" t="s">
        <v>77</v>
      </c>
      <c r="G20" s="42" t="s">
        <v>501</v>
      </c>
      <c r="H20" s="42">
        <v>2</v>
      </c>
      <c r="I20" s="173" t="s">
        <v>810</v>
      </c>
      <c r="J20" s="42">
        <v>1.88</v>
      </c>
      <c r="K20" s="42"/>
      <c r="L20" s="42">
        <v>989</v>
      </c>
      <c r="M20" s="42">
        <v>232</v>
      </c>
      <c r="N20" s="42"/>
      <c r="O20" s="42"/>
      <c r="P20" s="39">
        <v>1</v>
      </c>
      <c r="Q20" s="176" t="s">
        <v>1011</v>
      </c>
      <c r="R20" s="178" t="s">
        <v>1312</v>
      </c>
      <c r="S20" s="42"/>
      <c r="T20" s="176" t="s">
        <v>1210</v>
      </c>
      <c r="U20" s="178" t="s">
        <v>1216</v>
      </c>
      <c r="V20" s="178" t="s">
        <v>1217</v>
      </c>
      <c r="W20" s="173" t="s">
        <v>1050</v>
      </c>
      <c r="X20" s="42"/>
      <c r="Y20" s="42"/>
      <c r="Z20" s="42"/>
      <c r="AA20" s="42"/>
      <c r="AB20" s="42"/>
      <c r="AC20" s="42"/>
      <c r="AD20" s="42">
        <v>1</v>
      </c>
      <c r="AE20" s="42"/>
      <c r="AF20" s="15">
        <v>-4</v>
      </c>
      <c r="AG20" s="15"/>
      <c r="AH20" s="15">
        <v>-5.8</v>
      </c>
      <c r="AI20" s="18" t="s">
        <v>1225</v>
      </c>
      <c r="AJ20" s="18" t="s">
        <v>1228</v>
      </c>
      <c r="AK20" s="18" t="s">
        <v>1230</v>
      </c>
      <c r="AL20" s="173" t="s">
        <v>1244</v>
      </c>
      <c r="AM20" s="173" t="s">
        <v>1243</v>
      </c>
      <c r="AN20" s="10">
        <v>1</v>
      </c>
      <c r="AO20" s="10">
        <v>1</v>
      </c>
      <c r="AP20" s="10">
        <v>1</v>
      </c>
      <c r="AQ20" s="15">
        <v>1</v>
      </c>
      <c r="AR20" s="15"/>
      <c r="AS20" s="18">
        <v>15400000</v>
      </c>
      <c r="AT20" s="15"/>
      <c r="AU20" s="15"/>
      <c r="AV20" s="15"/>
      <c r="AW20" s="18"/>
      <c r="AX20" s="18"/>
      <c r="AY20" s="8">
        <v>0.47770000000000001</v>
      </c>
      <c r="AZ20" s="8">
        <v>9.9999999999999995E-8</v>
      </c>
      <c r="BA20" s="8" t="s">
        <v>1390</v>
      </c>
    </row>
    <row r="21" spans="1:54">
      <c r="A21" s="173" t="s">
        <v>26</v>
      </c>
      <c r="B21" s="175" t="s">
        <v>1004</v>
      </c>
      <c r="C21" s="31" t="s">
        <v>1033</v>
      </c>
      <c r="D21" s="175" t="s">
        <v>1004</v>
      </c>
      <c r="E21" s="29" t="s">
        <v>1045</v>
      </c>
      <c r="F21" s="173" t="s">
        <v>34</v>
      </c>
      <c r="G21" s="18"/>
      <c r="H21" s="173"/>
      <c r="I21" s="173" t="s">
        <v>810</v>
      </c>
      <c r="J21" s="173">
        <v>18.05</v>
      </c>
      <c r="K21" s="173"/>
      <c r="L21" s="173">
        <v>1129</v>
      </c>
      <c r="M21" s="173">
        <v>628</v>
      </c>
      <c r="N21" s="173"/>
      <c r="O21" s="173"/>
      <c r="P21" s="173">
        <v>5</v>
      </c>
      <c r="Q21" s="176" t="s">
        <v>1011</v>
      </c>
      <c r="R21" s="173" t="s">
        <v>1029</v>
      </c>
      <c r="S21" s="173"/>
      <c r="T21" s="176" t="s">
        <v>1009</v>
      </c>
      <c r="U21" s="179" t="s">
        <v>1039</v>
      </c>
      <c r="V21" s="173" t="s">
        <v>1033</v>
      </c>
      <c r="W21" s="173" t="s">
        <v>1050</v>
      </c>
      <c r="X21" s="173"/>
      <c r="Y21" s="173"/>
      <c r="Z21" s="173"/>
      <c r="AA21" s="173"/>
      <c r="AB21" s="173"/>
      <c r="AC21" s="173"/>
      <c r="AD21" s="173"/>
      <c r="AE21" s="173"/>
      <c r="AF21" s="18"/>
      <c r="AG21" s="18"/>
      <c r="AH21" s="18"/>
      <c r="AI21" s="18" t="s">
        <v>1064</v>
      </c>
      <c r="AJ21" s="18" t="s">
        <v>1068</v>
      </c>
      <c r="AK21" s="18"/>
      <c r="AL21" s="173" t="s">
        <v>1081</v>
      </c>
      <c r="AM21" s="173" t="s">
        <v>1086</v>
      </c>
      <c r="AN21" s="18">
        <v>1</v>
      </c>
      <c r="AO21" s="18">
        <v>1</v>
      </c>
      <c r="AP21" s="18">
        <v>1</v>
      </c>
      <c r="AQ21" s="18"/>
      <c r="AR21" s="18"/>
      <c r="AS21" s="18">
        <v>15400000</v>
      </c>
      <c r="AT21" s="18"/>
      <c r="AU21" s="18"/>
      <c r="AV21" s="18"/>
      <c r="AW21" s="18"/>
      <c r="AX21" s="18"/>
      <c r="AY21" s="8">
        <v>0.47770000000000001</v>
      </c>
      <c r="AZ21" s="8">
        <v>9.9999999999999995E-8</v>
      </c>
      <c r="BA21" s="8" t="s">
        <v>1391</v>
      </c>
      <c r="BB21" s="173"/>
    </row>
    <row r="22" spans="1:54">
      <c r="A22" s="173" t="s">
        <v>26</v>
      </c>
      <c r="B22" s="141" t="s">
        <v>1005</v>
      </c>
      <c r="C22" s="34" t="s">
        <v>1044</v>
      </c>
      <c r="D22" s="141" t="s">
        <v>1005</v>
      </c>
      <c r="E22" s="29" t="s">
        <v>1045</v>
      </c>
      <c r="F22" s="40" t="s">
        <v>29</v>
      </c>
      <c r="G22" s="9"/>
      <c r="H22" s="40"/>
      <c r="I22" s="40" t="s">
        <v>810</v>
      </c>
      <c r="J22" s="40">
        <v>162.5</v>
      </c>
      <c r="K22" s="40"/>
      <c r="L22" s="40">
        <v>1038</v>
      </c>
      <c r="M22" s="40">
        <v>573</v>
      </c>
      <c r="N22" s="40"/>
      <c r="O22" s="40"/>
      <c r="P22" s="40">
        <v>5</v>
      </c>
      <c r="Q22" s="176" t="s">
        <v>1011</v>
      </c>
      <c r="R22" s="40" t="s">
        <v>1030</v>
      </c>
      <c r="S22" s="40"/>
      <c r="T22" s="176" t="s">
        <v>1008</v>
      </c>
      <c r="U22" s="179" t="s">
        <v>1037</v>
      </c>
      <c r="V22" s="40" t="s">
        <v>1034</v>
      </c>
      <c r="W22" s="173" t="s">
        <v>1050</v>
      </c>
      <c r="X22" s="40"/>
      <c r="Y22" s="40"/>
      <c r="Z22" s="40"/>
      <c r="AA22" s="40"/>
      <c r="AB22" s="40">
        <v>1</v>
      </c>
      <c r="AC22" s="40"/>
      <c r="AD22" s="40"/>
      <c r="AE22" s="40"/>
      <c r="AF22" s="9"/>
      <c r="AG22" s="9"/>
      <c r="AH22" s="9"/>
      <c r="AI22" s="9" t="s">
        <v>1065</v>
      </c>
      <c r="AJ22" s="9" t="s">
        <v>1069</v>
      </c>
      <c r="AK22" s="9"/>
      <c r="AL22" s="40" t="s">
        <v>1082</v>
      </c>
      <c r="AM22" s="40" t="s">
        <v>1087</v>
      </c>
      <c r="AN22" s="9">
        <v>1</v>
      </c>
      <c r="AO22" s="9">
        <v>1</v>
      </c>
      <c r="AP22" s="9">
        <v>1</v>
      </c>
      <c r="AQ22" s="9"/>
      <c r="AR22" s="9"/>
      <c r="AS22" s="18">
        <v>15400000</v>
      </c>
      <c r="AT22" s="9"/>
      <c r="AU22" s="9"/>
      <c r="AV22" s="9"/>
      <c r="AW22" s="9"/>
      <c r="AX22" s="18"/>
      <c r="AY22" s="8">
        <v>0.47770000000000001</v>
      </c>
      <c r="AZ22" s="8">
        <v>9.9999999999999995E-8</v>
      </c>
      <c r="BA22" s="8" t="s">
        <v>1392</v>
      </c>
      <c r="BB22" s="40"/>
    </row>
    <row r="23" spans="1:54">
      <c r="A23" s="173" t="s">
        <v>26</v>
      </c>
      <c r="B23" s="141" t="s">
        <v>1006</v>
      </c>
      <c r="C23" s="34" t="s">
        <v>1035</v>
      </c>
      <c r="D23" s="141" t="s">
        <v>1006</v>
      </c>
      <c r="E23" s="29" t="s">
        <v>1045</v>
      </c>
      <c r="F23" s="124" t="s">
        <v>29</v>
      </c>
      <c r="G23" s="125"/>
      <c r="H23" s="40"/>
      <c r="I23" s="40" t="s">
        <v>810</v>
      </c>
      <c r="J23" s="40">
        <v>124.6</v>
      </c>
      <c r="K23" s="40"/>
      <c r="L23" s="40">
        <v>885</v>
      </c>
      <c r="M23" s="40">
        <v>568</v>
      </c>
      <c r="N23" s="40"/>
      <c r="O23" s="40"/>
      <c r="P23" s="40">
        <v>5</v>
      </c>
      <c r="Q23" s="176" t="s">
        <v>1183</v>
      </c>
      <c r="R23" s="40" t="s">
        <v>1031</v>
      </c>
      <c r="S23" s="40"/>
      <c r="T23" s="176" t="s">
        <v>1007</v>
      </c>
      <c r="U23" s="179" t="s">
        <v>1038</v>
      </c>
      <c r="V23" s="40" t="s">
        <v>1035</v>
      </c>
      <c r="W23" s="173" t="s">
        <v>1050</v>
      </c>
      <c r="X23" s="40"/>
      <c r="Y23" s="40"/>
      <c r="Z23" s="40"/>
      <c r="AA23" s="40"/>
      <c r="AB23" s="40">
        <v>1</v>
      </c>
      <c r="AC23" s="40"/>
      <c r="AD23" s="40"/>
      <c r="AE23" s="40"/>
      <c r="AF23" s="9"/>
      <c r="AG23" s="9"/>
      <c r="AH23" s="9"/>
      <c r="AI23" s="9" t="s">
        <v>1066</v>
      </c>
      <c r="AJ23" s="9" t="s">
        <v>1070</v>
      </c>
      <c r="AK23" s="9"/>
      <c r="AL23" s="40" t="s">
        <v>1083</v>
      </c>
      <c r="AM23" s="40" t="s">
        <v>1088</v>
      </c>
      <c r="AN23" s="9">
        <v>1</v>
      </c>
      <c r="AO23" s="9">
        <v>1</v>
      </c>
      <c r="AP23" s="9">
        <v>1</v>
      </c>
      <c r="AQ23" s="9"/>
      <c r="AR23" s="9"/>
      <c r="AS23" s="18">
        <v>15400000</v>
      </c>
      <c r="AT23" s="9"/>
      <c r="AU23" s="9"/>
      <c r="AV23" s="9"/>
      <c r="AW23" s="9"/>
      <c r="AX23" s="18"/>
      <c r="AY23" s="8">
        <v>0.47770000000000001</v>
      </c>
      <c r="AZ23" s="8">
        <v>9.9999999999999995E-8</v>
      </c>
      <c r="BA23" s="8" t="s">
        <v>1393</v>
      </c>
      <c r="BB23" s="40"/>
    </row>
  </sheetData>
  <phoneticPr fontId="4"/>
  <conditionalFormatting sqref="A47:BB65427 BC2:XFD65427 W2:W23 A2:A20 A23">
    <cfRule type="expression" dxfId="571" priority="238" stopIfTrue="1">
      <formula>MOD(ROW(),2) = 1</formula>
    </cfRule>
  </conditionalFormatting>
  <conditionalFormatting sqref="BC1:IW1">
    <cfRule type="expression" dxfId="570" priority="236" stopIfTrue="1">
      <formula>MOD(ROW(),2) = 1</formula>
    </cfRule>
  </conditionalFormatting>
  <conditionalFormatting sqref="H21:H23 B21:D23">
    <cfRule type="expression" dxfId="569" priority="157" stopIfTrue="1">
      <formula>MOD(ROW(),2) = 1</formula>
    </cfRule>
  </conditionalFormatting>
  <conditionalFormatting sqref="F22:F23">
    <cfRule type="expression" dxfId="568" priority="156" stopIfTrue="1">
      <formula>MOD(ROW(),2) = 1</formula>
    </cfRule>
  </conditionalFormatting>
  <conditionalFormatting sqref="F21">
    <cfRule type="expression" dxfId="567" priority="155" stopIfTrue="1">
      <formula>MOD(ROW(),2) = 1</formula>
    </cfRule>
  </conditionalFormatting>
  <conditionalFormatting sqref="A21">
    <cfRule type="expression" dxfId="566" priority="151" stopIfTrue="1">
      <formula>MOD(ROW(),2) = 1</formula>
    </cfRule>
  </conditionalFormatting>
  <conditionalFormatting sqref="AK21:AK23 X21:AH23 L22:T23 AN21:AR23 N21:T21 J21:J23 AT21:AW23 BB21:BB23">
    <cfRule type="expression" dxfId="565" priority="148" stopIfTrue="1">
      <formula>MOD(ROW(),2) = 1</formula>
    </cfRule>
  </conditionalFormatting>
  <conditionalFormatting sqref="K21:K23">
    <cfRule type="expression" dxfId="564" priority="147" stopIfTrue="1">
      <formula>MOD(ROW(),2) = 1</formula>
    </cfRule>
  </conditionalFormatting>
  <conditionalFormatting sqref="AJ16:AK16 J16 L16:T16 W16:AH16 AN16:AR16 BB16:IW16 AT16:AV16">
    <cfRule type="expression" dxfId="563" priority="145" stopIfTrue="1">
      <formula>MOD(ROW(),2) = 1</formula>
    </cfRule>
  </conditionalFormatting>
  <conditionalFormatting sqref="A16">
    <cfRule type="expression" dxfId="562" priority="144" stopIfTrue="1">
      <formula>MOD(ROW(),2) = 1</formula>
    </cfRule>
  </conditionalFormatting>
  <conditionalFormatting sqref="B16:C16 E16:H16">
    <cfRule type="expression" dxfId="561" priority="143" stopIfTrue="1">
      <formula>MOD(ROW(),2) = 1</formula>
    </cfRule>
  </conditionalFormatting>
  <conditionalFormatting sqref="D16">
    <cfRule type="expression" dxfId="560" priority="142" stopIfTrue="1">
      <formula>MOD(ROW(),2) = 1</formula>
    </cfRule>
  </conditionalFormatting>
  <conditionalFormatting sqref="K16">
    <cfRule type="expression" dxfId="559" priority="140" stopIfTrue="1">
      <formula>MOD(ROW(),2) = 1</formula>
    </cfRule>
  </conditionalFormatting>
  <conditionalFormatting sqref="I16">
    <cfRule type="expression" dxfId="558" priority="137" stopIfTrue="1">
      <formula>MOD(ROW(),2) = 1</formula>
    </cfRule>
  </conditionalFormatting>
  <conditionalFormatting sqref="I21">
    <cfRule type="expression" dxfId="557" priority="136" stopIfTrue="1">
      <formula>MOD(ROW(),2) = 1</formula>
    </cfRule>
  </conditionalFormatting>
  <conditionalFormatting sqref="I22">
    <cfRule type="expression" dxfId="556" priority="135" stopIfTrue="1">
      <formula>MOD(ROW(),2) = 1</formula>
    </cfRule>
  </conditionalFormatting>
  <conditionalFormatting sqref="I23">
    <cfRule type="expression" dxfId="555" priority="134" stopIfTrue="1">
      <formula>MOD(ROW(),2) = 1</formula>
    </cfRule>
  </conditionalFormatting>
  <conditionalFormatting sqref="A22">
    <cfRule type="expression" dxfId="554" priority="130" stopIfTrue="1">
      <formula>MOD(ROW(),2) = 1</formula>
    </cfRule>
  </conditionalFormatting>
  <conditionalFormatting sqref="V21:V23">
    <cfRule type="expression" dxfId="553" priority="128" stopIfTrue="1">
      <formula>MOD(ROW(),2) = 1</formula>
    </cfRule>
  </conditionalFormatting>
  <conditionalFormatting sqref="V16">
    <cfRule type="expression" dxfId="552" priority="127" stopIfTrue="1">
      <formula>MOD(ROW(),2) = 1</formula>
    </cfRule>
  </conditionalFormatting>
  <conditionalFormatting sqref="E21">
    <cfRule type="expression" dxfId="551" priority="126" stopIfTrue="1">
      <formula>MOD(ROW(),2) = 1</formula>
    </cfRule>
  </conditionalFormatting>
  <conditionalFormatting sqref="E22">
    <cfRule type="expression" dxfId="550" priority="125" stopIfTrue="1">
      <formula>MOD(ROW(),2) = 1</formula>
    </cfRule>
  </conditionalFormatting>
  <conditionalFormatting sqref="E23">
    <cfRule type="expression" dxfId="549" priority="124" stopIfTrue="1">
      <formula>MOD(ROW(),2) = 1</formula>
    </cfRule>
  </conditionalFormatting>
  <conditionalFormatting sqref="AL21:AL23">
    <cfRule type="expression" dxfId="548" priority="123" stopIfTrue="1">
      <formula>MOD(ROW(),2) = 1</formula>
    </cfRule>
  </conditionalFormatting>
  <conditionalFormatting sqref="AL16">
    <cfRule type="expression" dxfId="547" priority="122" stopIfTrue="1">
      <formula>MOD(ROW(),2) = 1</formula>
    </cfRule>
  </conditionalFormatting>
  <conditionalFormatting sqref="AM16">
    <cfRule type="expression" dxfId="546" priority="121" stopIfTrue="1">
      <formula>MOD(ROW(),2) = 1</formula>
    </cfRule>
  </conditionalFormatting>
  <conditionalFormatting sqref="AM21:AM23">
    <cfRule type="expression" dxfId="545" priority="120" stopIfTrue="1">
      <formula>MOD(ROW(),2) = 1</formula>
    </cfRule>
  </conditionalFormatting>
  <conditionalFormatting sqref="L21">
    <cfRule type="expression" dxfId="544" priority="119" stopIfTrue="1">
      <formula>MOD(ROW(),2) = 1</formula>
    </cfRule>
  </conditionalFormatting>
  <conditionalFormatting sqref="M21">
    <cfRule type="expression" dxfId="543" priority="118" stopIfTrue="1">
      <formula>MOD(ROW(),2) = 1</formula>
    </cfRule>
  </conditionalFormatting>
  <conditionalFormatting sqref="E17">
    <cfRule type="expression" dxfId="542" priority="115" stopIfTrue="1">
      <formula>MOD(ROW(),2) = 1</formula>
    </cfRule>
  </conditionalFormatting>
  <conditionalFormatting sqref="E18">
    <cfRule type="expression" dxfId="541" priority="114" stopIfTrue="1">
      <formula>MOD(ROW(),2) = 1</formula>
    </cfRule>
  </conditionalFormatting>
  <conditionalFormatting sqref="E19">
    <cfRule type="expression" dxfId="540" priority="113" stopIfTrue="1">
      <formula>MOD(ROW(),2) = 1</formula>
    </cfRule>
  </conditionalFormatting>
  <conditionalFormatting sqref="E20">
    <cfRule type="expression" dxfId="539" priority="112" stopIfTrue="1">
      <formula>MOD(ROW(),2) = 1</formula>
    </cfRule>
  </conditionalFormatting>
  <conditionalFormatting sqref="AF8:AF11 AF7:AH7 J6:J11 AR2:AX2 G11:H11 F6:H10 G5:H5 G2:I4 H12:J13 AF15:AH16 AN14:AR16 J14:J16 AN2:AP13 AR3:AR13 AT3:AV16 J2:K5 X7:AE16 L2:P2 S3:S16 AJ15:AM16 X2:AH6 AK2:AK7 AG9:AH10 AK10 L4:P16 N3:P3 AW3:AW20 AX3:AX23 AS3:AS23">
    <cfRule type="expression" dxfId="538" priority="102" stopIfTrue="1">
      <formula>MOD(ROW(),2) = 1</formula>
    </cfRule>
  </conditionalFormatting>
  <conditionalFormatting sqref="AF12">
    <cfRule type="expression" dxfId="537" priority="101" stopIfTrue="1">
      <formula>MOD(ROW(),2) = 1</formula>
    </cfRule>
  </conditionalFormatting>
  <conditionalFormatting sqref="AF13">
    <cfRule type="expression" dxfId="536" priority="100" stopIfTrue="1">
      <formula>MOD(ROW(),2) = 1</formula>
    </cfRule>
  </conditionalFormatting>
  <conditionalFormatting sqref="F5">
    <cfRule type="expression" dxfId="535" priority="98" stopIfTrue="1">
      <formula>MOD(ROW(),2) = 1</formula>
    </cfRule>
  </conditionalFormatting>
  <conditionalFormatting sqref="F12">
    <cfRule type="expression" dxfId="534" priority="97" stopIfTrue="1">
      <formula>MOD(ROW(),2) = 1</formula>
    </cfRule>
  </conditionalFormatting>
  <conditionalFormatting sqref="F13:G13">
    <cfRule type="expression" dxfId="533" priority="96" stopIfTrue="1">
      <formula>MOD(ROW(),2) = 1</formula>
    </cfRule>
  </conditionalFormatting>
  <conditionalFormatting sqref="F14:H14 G15:H16">
    <cfRule type="expression" dxfId="532" priority="93" stopIfTrue="1">
      <formula>MOD(ROW(),2) = 1</formula>
    </cfRule>
  </conditionalFormatting>
  <conditionalFormatting sqref="G12">
    <cfRule type="expression" dxfId="531" priority="95" stopIfTrue="1">
      <formula>MOD(ROW(),2) = 1</formula>
    </cfRule>
  </conditionalFormatting>
  <conditionalFormatting sqref="F11">
    <cfRule type="expression" dxfId="530" priority="94" stopIfTrue="1">
      <formula>MOD(ROW(),2) = 1</formula>
    </cfRule>
  </conditionalFormatting>
  <conditionalFormatting sqref="I5">
    <cfRule type="expression" dxfId="529" priority="92" stopIfTrue="1">
      <formula>MOD(ROW(),2) = 1</formula>
    </cfRule>
  </conditionalFormatting>
  <conditionalFormatting sqref="I6">
    <cfRule type="expression" dxfId="528" priority="91" stopIfTrue="1">
      <formula>MOD(ROW(),2) = 1</formula>
    </cfRule>
  </conditionalFormatting>
  <conditionalFormatting sqref="I7">
    <cfRule type="expression" dxfId="527" priority="90" stopIfTrue="1">
      <formula>MOD(ROW(),2) = 1</formula>
    </cfRule>
  </conditionalFormatting>
  <conditionalFormatting sqref="I8">
    <cfRule type="expression" dxfId="526" priority="89" stopIfTrue="1">
      <formula>MOD(ROW(),2) = 1</formula>
    </cfRule>
  </conditionalFormatting>
  <conditionalFormatting sqref="I9">
    <cfRule type="expression" dxfId="525" priority="88" stopIfTrue="1">
      <formula>MOD(ROW(),2) = 1</formula>
    </cfRule>
  </conditionalFormatting>
  <conditionalFormatting sqref="I10">
    <cfRule type="expression" dxfId="524" priority="87" stopIfTrue="1">
      <formula>MOD(ROW(),2) = 1</formula>
    </cfRule>
  </conditionalFormatting>
  <conditionalFormatting sqref="I11">
    <cfRule type="expression" dxfId="523" priority="86" stopIfTrue="1">
      <formula>MOD(ROW(),2) = 1</formula>
    </cfRule>
  </conditionalFormatting>
  <conditionalFormatting sqref="I14">
    <cfRule type="expression" dxfId="522" priority="85" stopIfTrue="1">
      <formula>MOD(ROW(),2) = 1</formula>
    </cfRule>
  </conditionalFormatting>
  <conditionalFormatting sqref="I15:I16">
    <cfRule type="expression" dxfId="521" priority="84" stopIfTrue="1">
      <formula>MOD(ROW(),2) = 1</formula>
    </cfRule>
  </conditionalFormatting>
  <conditionalFormatting sqref="F15:F16">
    <cfRule type="expression" dxfId="520" priority="83" stopIfTrue="1">
      <formula>MOD(ROW(),2) = 1</formula>
    </cfRule>
  </conditionalFormatting>
  <conditionalFormatting sqref="K6:K16">
    <cfRule type="expression" dxfId="519" priority="82" stopIfTrue="1">
      <formula>MOD(ROW(),2) = 1</formula>
    </cfRule>
  </conditionalFormatting>
  <conditionalFormatting sqref="F4">
    <cfRule type="expression" dxfId="518" priority="81" stopIfTrue="1">
      <formula>MOD(ROW(),2) = 1</formula>
    </cfRule>
  </conditionalFormatting>
  <conditionalFormatting sqref="K17:K20">
    <cfRule type="expression" dxfId="517" priority="67" stopIfTrue="1">
      <formula>MOD(ROW(),2) = 1</formula>
    </cfRule>
  </conditionalFormatting>
  <conditionalFormatting sqref="H17:H20 J17:J20 N19:P19 L20:P20 L17:P18 X17:AH20 S17:S20 AK17:AK18 AN17:AR20 AT17:AV20">
    <cfRule type="expression" dxfId="516" priority="80" stopIfTrue="1">
      <formula>MOD(ROW(),2) = 1</formula>
    </cfRule>
  </conditionalFormatting>
  <conditionalFormatting sqref="G17 F19:G20">
    <cfRule type="expression" dxfId="515" priority="79" stopIfTrue="1">
      <formula>MOD(ROW(),2) = 1</formula>
    </cfRule>
  </conditionalFormatting>
  <conditionalFormatting sqref="G18">
    <cfRule type="expression" dxfId="514" priority="78" stopIfTrue="1">
      <formula>MOD(ROW(),2) = 1</formula>
    </cfRule>
  </conditionalFormatting>
  <conditionalFormatting sqref="F18">
    <cfRule type="expression" dxfId="513" priority="77" stopIfTrue="1">
      <formula>MOD(ROW(),2) = 1</formula>
    </cfRule>
  </conditionalFormatting>
  <conditionalFormatting sqref="F17">
    <cfRule type="expression" dxfId="512" priority="75" stopIfTrue="1">
      <formula>MOD(ROW(),2) = 1</formula>
    </cfRule>
  </conditionalFormatting>
  <conditionalFormatting sqref="I17">
    <cfRule type="expression" dxfId="511" priority="74" stopIfTrue="1">
      <formula>MOD(ROW(),2) = 1</formula>
    </cfRule>
  </conditionalFormatting>
  <conditionalFormatting sqref="I18">
    <cfRule type="expression" dxfId="510" priority="73" stopIfTrue="1">
      <formula>MOD(ROW(),2) = 1</formula>
    </cfRule>
  </conditionalFormatting>
  <conditionalFormatting sqref="I19">
    <cfRule type="expression" dxfId="509" priority="72" stopIfTrue="1">
      <formula>MOD(ROW(),2) = 1</formula>
    </cfRule>
  </conditionalFormatting>
  <conditionalFormatting sqref="I20">
    <cfRule type="expression" dxfId="508" priority="71" stopIfTrue="1">
      <formula>MOD(ROW(),2) = 1</formula>
    </cfRule>
  </conditionalFormatting>
  <conditionalFormatting sqref="D2 D4 D6 D8 D10 D12 D14 D17 D19">
    <cfRule type="expression" dxfId="507" priority="65" stopIfTrue="1">
      <formula>MOD(ROW(),2) = 1</formula>
    </cfRule>
  </conditionalFormatting>
  <conditionalFormatting sqref="D3 D5 D7 D9 D11 D13 D15:D16 D18 D20">
    <cfRule type="expression" dxfId="506" priority="64" stopIfTrue="1">
      <formula>MOD(ROW(),2) = 1</formula>
    </cfRule>
  </conditionalFormatting>
  <conditionalFormatting sqref="Q2 Q17 Q19 T10 T12 T14 T17 T19 S2:T2 Q4 Q6 Q8 T4 T8">
    <cfRule type="expression" dxfId="505" priority="62" stopIfTrue="1">
      <formula>MOD(ROW(),2) = 1</formula>
    </cfRule>
  </conditionalFormatting>
  <conditionalFormatting sqref="Q9 Q18 Q20 Q11 Q13 Q15:Q16">
    <cfRule type="expression" dxfId="504" priority="60" stopIfTrue="1">
      <formula>MOD(ROW(),2) = 1</formula>
    </cfRule>
  </conditionalFormatting>
  <conditionalFormatting sqref="T9 T11 T13 T15:T16 T18 T20">
    <cfRule type="expression" dxfId="503" priority="59" stopIfTrue="1">
      <formula>MOD(ROW(),2) = 1</formula>
    </cfRule>
  </conditionalFormatting>
  <conditionalFormatting sqref="Q3">
    <cfRule type="expression" dxfId="502" priority="58" stopIfTrue="1">
      <formula>MOD(ROW(),2) = 1</formula>
    </cfRule>
  </conditionalFormatting>
  <conditionalFormatting sqref="Q5">
    <cfRule type="expression" dxfId="501" priority="57" stopIfTrue="1">
      <formula>MOD(ROW(),2) = 1</formula>
    </cfRule>
  </conditionalFormatting>
  <conditionalFormatting sqref="Q7">
    <cfRule type="expression" dxfId="500" priority="56" stopIfTrue="1">
      <formula>MOD(ROW(),2) = 1</formula>
    </cfRule>
  </conditionalFormatting>
  <conditionalFormatting sqref="T3">
    <cfRule type="expression" dxfId="499" priority="55" stopIfTrue="1">
      <formula>MOD(ROW(),2) = 1</formula>
    </cfRule>
  </conditionalFormatting>
  <conditionalFormatting sqref="T5">
    <cfRule type="expression" dxfId="498" priority="54" stopIfTrue="1">
      <formula>MOD(ROW(),2) = 1</formula>
    </cfRule>
  </conditionalFormatting>
  <conditionalFormatting sqref="B2 B4 B6 B8 B10 B12 B14">
    <cfRule type="expression" dxfId="497" priority="50" stopIfTrue="1">
      <formula>MOD(ROW(),2) = 1</formula>
    </cfRule>
  </conditionalFormatting>
  <conditionalFormatting sqref="B3 B5 B7 B9 B11 B13 B15:B16">
    <cfRule type="expression" dxfId="496" priority="49" stopIfTrue="1">
      <formula>MOD(ROW(),2) = 1</formula>
    </cfRule>
  </conditionalFormatting>
  <conditionalFormatting sqref="B17 B19">
    <cfRule type="expression" dxfId="495" priority="48" stopIfTrue="1">
      <formula>MOD(ROW(),2) = 1</formula>
    </cfRule>
  </conditionalFormatting>
  <conditionalFormatting sqref="B18 B20">
    <cfRule type="expression" dxfId="494" priority="47" stopIfTrue="1">
      <formula>MOD(ROW(),2) = 1</formula>
    </cfRule>
  </conditionalFormatting>
  <conditionalFormatting sqref="AJ14">
    <cfRule type="expression" dxfId="493" priority="43" stopIfTrue="1">
      <formula>MOD(ROW(),2) = 1</formula>
    </cfRule>
  </conditionalFormatting>
  <conditionalFormatting sqref="AJ14">
    <cfRule type="expression" dxfId="492" priority="42" stopIfTrue="1">
      <formula>MOD(ROW(),2) = 1</formula>
    </cfRule>
  </conditionalFormatting>
  <conditionalFormatting sqref="AJ15">
    <cfRule type="expression" dxfId="491" priority="41" stopIfTrue="1">
      <formula>MOD(ROW(),2) = 1</formula>
    </cfRule>
  </conditionalFormatting>
  <conditionalFormatting sqref="AJ17">
    <cfRule type="expression" dxfId="490" priority="40" stopIfTrue="1">
      <formula>MOD(ROW(),2) = 1</formula>
    </cfRule>
  </conditionalFormatting>
  <conditionalFormatting sqref="AJ17">
    <cfRule type="expression" dxfId="489" priority="39" stopIfTrue="1">
      <formula>MOD(ROW(),2) = 1</formula>
    </cfRule>
  </conditionalFormatting>
  <conditionalFormatting sqref="AK14">
    <cfRule type="expression" dxfId="488" priority="38" stopIfTrue="1">
      <formula>MOD(ROW(),2) = 1</formula>
    </cfRule>
  </conditionalFormatting>
  <conditionalFormatting sqref="AK14">
    <cfRule type="expression" dxfId="487" priority="37" stopIfTrue="1">
      <formula>MOD(ROW(),2) = 1</formula>
    </cfRule>
  </conditionalFormatting>
  <conditionalFormatting sqref="AL14">
    <cfRule type="expression" dxfId="486" priority="36" stopIfTrue="1">
      <formula>MOD(ROW(),2) = 1</formula>
    </cfRule>
  </conditionalFormatting>
  <conditionalFormatting sqref="AL14">
    <cfRule type="expression" dxfId="485" priority="35" stopIfTrue="1">
      <formula>MOD(ROW(),2) = 1</formula>
    </cfRule>
  </conditionalFormatting>
  <conditionalFormatting sqref="AL15">
    <cfRule type="expression" dxfId="484" priority="34" stopIfTrue="1">
      <formula>MOD(ROW(),2) = 1</formula>
    </cfRule>
  </conditionalFormatting>
  <conditionalFormatting sqref="AL17">
    <cfRule type="expression" dxfId="483" priority="33" stopIfTrue="1">
      <formula>MOD(ROW(),2) = 1</formula>
    </cfRule>
  </conditionalFormatting>
  <conditionalFormatting sqref="AL17">
    <cfRule type="expression" dxfId="482" priority="32" stopIfTrue="1">
      <formula>MOD(ROW(),2) = 1</formula>
    </cfRule>
  </conditionalFormatting>
  <conditionalFormatting sqref="AM14">
    <cfRule type="expression" dxfId="481" priority="31" stopIfTrue="1">
      <formula>MOD(ROW(),2) = 1</formula>
    </cfRule>
  </conditionalFormatting>
  <conditionalFormatting sqref="AM14">
    <cfRule type="expression" dxfId="480" priority="30" stopIfTrue="1">
      <formula>MOD(ROW(),2) = 1</formula>
    </cfRule>
  </conditionalFormatting>
  <conditionalFormatting sqref="AM15">
    <cfRule type="expression" dxfId="479" priority="29" stopIfTrue="1">
      <formula>MOD(ROW(),2) = 1</formula>
    </cfRule>
  </conditionalFormatting>
  <conditionalFormatting sqref="AM17">
    <cfRule type="expression" dxfId="478" priority="28" stopIfTrue="1">
      <formula>MOD(ROW(),2) = 1</formula>
    </cfRule>
  </conditionalFormatting>
  <conditionalFormatting sqref="AM17">
    <cfRule type="expression" dxfId="477" priority="27" stopIfTrue="1">
      <formula>MOD(ROW(),2) = 1</formula>
    </cfRule>
  </conditionalFormatting>
  <conditionalFormatting sqref="AL18">
    <cfRule type="expression" dxfId="476" priority="26" stopIfTrue="1">
      <formula>MOD(ROW(),2) = 1</formula>
    </cfRule>
  </conditionalFormatting>
  <conditionalFormatting sqref="AL18">
    <cfRule type="expression" dxfId="475" priority="25" stopIfTrue="1">
      <formula>MOD(ROW(),2) = 1</formula>
    </cfRule>
  </conditionalFormatting>
  <conditionalFormatting sqref="AM18">
    <cfRule type="expression" dxfId="474" priority="24" stopIfTrue="1">
      <formula>MOD(ROW(),2) = 1</formula>
    </cfRule>
  </conditionalFormatting>
  <conditionalFormatting sqref="AM18">
    <cfRule type="expression" dxfId="473" priority="23" stopIfTrue="1">
      <formula>MOD(ROW(),2) = 1</formula>
    </cfRule>
  </conditionalFormatting>
  <conditionalFormatting sqref="AL19">
    <cfRule type="expression" dxfId="472" priority="22" stopIfTrue="1">
      <formula>MOD(ROW(),2) = 1</formula>
    </cfRule>
  </conditionalFormatting>
  <conditionalFormatting sqref="AL19">
    <cfRule type="expression" dxfId="471" priority="21" stopIfTrue="1">
      <formula>MOD(ROW(),2) = 1</formula>
    </cfRule>
  </conditionalFormatting>
  <conditionalFormatting sqref="AM19">
    <cfRule type="expression" dxfId="470" priority="20" stopIfTrue="1">
      <formula>MOD(ROW(),2) = 1</formula>
    </cfRule>
  </conditionalFormatting>
  <conditionalFormatting sqref="AM19">
    <cfRule type="expression" dxfId="469" priority="19" stopIfTrue="1">
      <formula>MOD(ROW(),2) = 1</formula>
    </cfRule>
  </conditionalFormatting>
  <conditionalFormatting sqref="AL20">
    <cfRule type="expression" dxfId="468" priority="18" stopIfTrue="1">
      <formula>MOD(ROW(),2) = 1</formula>
    </cfRule>
  </conditionalFormatting>
  <conditionalFormatting sqref="AL20">
    <cfRule type="expression" dxfId="467" priority="17" stopIfTrue="1">
      <formula>MOD(ROW(),2) = 1</formula>
    </cfRule>
  </conditionalFormatting>
  <conditionalFormatting sqref="AM20">
    <cfRule type="expression" dxfId="466" priority="16" stopIfTrue="1">
      <formula>MOD(ROW(),2) = 1</formula>
    </cfRule>
  </conditionalFormatting>
  <conditionalFormatting sqref="AM20">
    <cfRule type="expression" dxfId="465" priority="15" stopIfTrue="1">
      <formula>MOD(ROW(),2) = 1</formula>
    </cfRule>
  </conditionalFormatting>
  <conditionalFormatting sqref="AL2">
    <cfRule type="expression" dxfId="464" priority="12" stopIfTrue="1">
      <formula>MOD(ROW(),2) = 1</formula>
    </cfRule>
  </conditionalFormatting>
  <conditionalFormatting sqref="AL2">
    <cfRule type="expression" dxfId="463" priority="11" stopIfTrue="1">
      <formula>MOD(ROW(),2) = 1</formula>
    </cfRule>
  </conditionalFormatting>
  <conditionalFormatting sqref="AM2">
    <cfRule type="expression" dxfId="462" priority="10" stopIfTrue="1">
      <formula>MOD(ROW(),2) = 1</formula>
    </cfRule>
  </conditionalFormatting>
  <conditionalFormatting sqref="AM2">
    <cfRule type="expression" dxfId="461" priority="9" stopIfTrue="1">
      <formula>MOD(ROW(),2) = 1</formula>
    </cfRule>
  </conditionalFormatting>
  <conditionalFormatting sqref="Q10">
    <cfRule type="expression" dxfId="460" priority="8" stopIfTrue="1">
      <formula>MOD(ROW(),2) = 1</formula>
    </cfRule>
  </conditionalFormatting>
  <conditionalFormatting sqref="Q12">
    <cfRule type="expression" dxfId="459" priority="7" stopIfTrue="1">
      <formula>MOD(ROW(),2) = 1</formula>
    </cfRule>
  </conditionalFormatting>
  <conditionalFormatting sqref="Q14">
    <cfRule type="expression" dxfId="458" priority="6" stopIfTrue="1">
      <formula>MOD(ROW(),2) = 1</formula>
    </cfRule>
  </conditionalFormatting>
  <conditionalFormatting sqref="T6">
    <cfRule type="expression" dxfId="457" priority="5" stopIfTrue="1">
      <formula>MOD(ROW(),2) = 1</formula>
    </cfRule>
  </conditionalFormatting>
  <conditionalFormatting sqref="T7">
    <cfRule type="expression" dxfId="456" priority="4" stopIfTrue="1">
      <formula>MOD(ROW(),2) = 1</formula>
    </cfRule>
  </conditionalFormatting>
  <conditionalFormatting sqref="F2">
    <cfRule type="expression" dxfId="455" priority="3" stopIfTrue="1">
      <formula>MOD(ROW(),2) = 1</formula>
    </cfRule>
  </conditionalFormatting>
  <conditionalFormatting sqref="F3">
    <cfRule type="expression" dxfId="454" priority="2" stopIfTrue="1">
      <formula>MOD(ROW(),2) = 1</formula>
    </cfRule>
  </conditionalFormatting>
  <conditionalFormatting sqref="L3:M3">
    <cfRule type="expression" dxfId="453" priority="1" stopIfTrue="1">
      <formula>MOD(ROW(),2) = 1</formula>
    </cfRule>
  </conditionalFormatting>
  <hyperlinks>
    <hyperlink ref="U23" r:id="rId1" display="http://xfweb-dmz-03.spring8.or.jp/cgi-bin/MDAQ/mdaq_data.py?sig_id=706070&amp;format=plot" xr:uid="{00000000-0004-0000-0400-000000000000}"/>
    <hyperlink ref="U22" r:id="rId2" display="http://xfweb-dmz-03.spring8.or.jp/cgi-bin/MDAQ/mdaq_data.py?sig_id=706066&amp;format=plot" xr:uid="{00000000-0004-0000-0400-000001000000}"/>
    <hyperlink ref="U21" r:id="rId3" display="http://xfweb-dmz-03.spring8.or.jp/cgi-bin/MDAQ/mdaq_data.py?sig_id=706074&amp;format=plot" xr:uid="{00000000-0004-0000-0400-000002000000}"/>
    <hyperlink ref="U16" r:id="rId4" display="http://xfweb-dmz-03.spring8.or.jp/cgi-bin/MDAQ/mdaq_data.py?sig_id=706007&amp;format=plot" xr:uid="{00000000-0004-0000-0400-000003000000}"/>
  </hyperlinks>
  <pageMargins left="0.39370078740157483" right="0.39370078740157483" top="0.39370078740157483" bottom="0.39370078740157483" header="0.51181102362204722" footer="0.51181102362204722"/>
  <pageSetup paperSize="9" scale="17" fitToHeight="0" orientation="landscape" verticalDpi="1200"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35841" r:id="rId8" name="Button 1">
              <controlPr defaultSize="0" print="0" autoFill="0" autoPict="0" macro="[0]!Coloring">
                <anchor moveWithCells="1" sizeWithCells="1">
                  <from>
                    <xdr:col>1</xdr:col>
                    <xdr:colOff>260350</xdr:colOff>
                    <xdr:row>0</xdr:row>
                    <xdr:rowOff>31750</xdr:rowOff>
                  </from>
                  <to>
                    <xdr:col>1</xdr:col>
                    <xdr:colOff>984250</xdr:colOff>
                    <xdr:row>0</xdr:row>
                    <xdr:rowOff>228600</xdr:rowOff>
                  </to>
                </anchor>
              </controlPr>
            </control>
          </mc:Choice>
        </mc:AlternateContent>
        <mc:AlternateContent xmlns:mc="http://schemas.openxmlformats.org/markup-compatibility/2006">
          <mc:Choice Requires="x14">
            <control shapeId="35842" r:id="rId9" name="Button 2">
              <controlPr defaultSize="0" print="0" autoFill="0" autoPict="0" macro="[0]!Coloring">
                <anchor moveWithCells="1" sizeWithCells="1">
                  <from>
                    <xdr:col>1</xdr:col>
                    <xdr:colOff>1035050</xdr:colOff>
                    <xdr:row>0</xdr:row>
                    <xdr:rowOff>31750</xdr:rowOff>
                  </from>
                  <to>
                    <xdr:col>2</xdr:col>
                    <xdr:colOff>717550</xdr:colOff>
                    <xdr:row>0</xdr:row>
                    <xdr:rowOff>292100</xdr:rowOff>
                  </to>
                </anchor>
              </controlPr>
            </control>
          </mc:Choice>
        </mc:AlternateContent>
        <mc:AlternateContent xmlns:mc="http://schemas.openxmlformats.org/markup-compatibility/2006">
          <mc:Choice Requires="x14">
            <control shapeId="35843" r:id="rId10" name="Button 3">
              <controlPr defaultSize="0" print="0" autoFill="0" autoPict="0" macro="[0]!WRITE_CSVFile3">
                <anchor moveWithCells="1" sizeWithCells="1">
                  <from>
                    <xdr:col>1</xdr:col>
                    <xdr:colOff>76200</xdr:colOff>
                    <xdr:row>0</xdr:row>
                    <xdr:rowOff>31750</xdr:rowOff>
                  </from>
                  <to>
                    <xdr:col>1</xdr:col>
                    <xdr:colOff>1016000</xdr:colOff>
                    <xdr:row>0</xdr:row>
                    <xdr:rowOff>292100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1:B5"/>
  <sheetViews>
    <sheetView zoomScale="130" zoomScaleNormal="130" workbookViewId="0">
      <selection sqref="A1:B1"/>
    </sheetView>
  </sheetViews>
  <sheetFormatPr defaultRowHeight="11"/>
  <cols>
    <col min="1" max="1" width="12.33203125" customWidth="1"/>
  </cols>
  <sheetData>
    <row r="1" spans="1:2">
      <c r="A1" t="s">
        <v>1117</v>
      </c>
      <c r="B1" t="s">
        <v>1118</v>
      </c>
    </row>
    <row r="2" spans="1:2">
      <c r="A2" t="s">
        <v>1051</v>
      </c>
      <c r="B2" t="s">
        <v>1052</v>
      </c>
    </row>
    <row r="3" spans="1:2">
      <c r="A3" t="s">
        <v>1058</v>
      </c>
      <c r="B3" t="s">
        <v>1059</v>
      </c>
    </row>
    <row r="4" spans="1:2">
      <c r="A4" t="s">
        <v>1060</v>
      </c>
      <c r="B4" t="s">
        <v>1095</v>
      </c>
    </row>
    <row r="5" spans="1:2">
      <c r="A5" t="s">
        <v>1061</v>
      </c>
      <c r="B5" t="s">
        <v>1096</v>
      </c>
    </row>
  </sheetData>
  <phoneticPr fontId="4"/>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WRITE_CSVFile3">
                <anchor moveWithCells="1" sizeWithCells="1">
                  <from>
                    <xdr:col>4</xdr:col>
                    <xdr:colOff>101600</xdr:colOff>
                    <xdr:row>7</xdr:row>
                    <xdr:rowOff>31750</xdr:rowOff>
                  </from>
                  <to>
                    <xdr:col>6</xdr:col>
                    <xdr:colOff>25400</xdr:colOff>
                    <xdr:row>9</xdr:row>
                    <xdr:rowOff>12700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AZ81"/>
  <sheetViews>
    <sheetView zoomScale="115" zoomScaleNormal="115" workbookViewId="0">
      <pane xSplit="2" ySplit="1" topLeftCell="C2" activePane="bottomRight" state="frozen"/>
      <selection pane="topRight" activeCell="C1" sqref="C1"/>
      <selection pane="bottomLeft" activeCell="A2" sqref="A2"/>
      <selection pane="bottomRight" sqref="A1:XFD1"/>
    </sheetView>
  </sheetViews>
  <sheetFormatPr defaultColWidth="9.33203125" defaultRowHeight="11"/>
  <cols>
    <col min="2" max="4" width="20.109375" customWidth="1"/>
    <col min="5" max="5" width="22.88671875" customWidth="1"/>
    <col min="6" max="6" width="13" customWidth="1"/>
    <col min="7" max="7" width="13.6640625" customWidth="1"/>
    <col min="9" max="9" width="15" customWidth="1"/>
    <col min="10" max="10" width="11.33203125" customWidth="1"/>
    <col min="15" max="15" width="43.109375" customWidth="1"/>
    <col min="24" max="24" width="9.33203125" customWidth="1"/>
    <col min="25" max="29" width="14.88671875" customWidth="1"/>
  </cols>
  <sheetData>
    <row r="1" spans="1:52" s="130" customFormat="1" ht="51" customHeight="1" thickBot="1">
      <c r="A1" s="128" t="s">
        <v>359</v>
      </c>
      <c r="B1" s="128" t="s">
        <v>360</v>
      </c>
      <c r="C1" s="128" t="s">
        <v>361</v>
      </c>
      <c r="D1" s="128" t="s">
        <v>362</v>
      </c>
      <c r="E1" s="128" t="s">
        <v>351</v>
      </c>
      <c r="F1" s="128" t="s">
        <v>353</v>
      </c>
      <c r="G1" s="128" t="s">
        <v>355</v>
      </c>
      <c r="H1" s="128" t="s">
        <v>357</v>
      </c>
      <c r="I1" s="128" t="s">
        <v>6</v>
      </c>
      <c r="J1" s="128" t="s">
        <v>363</v>
      </c>
      <c r="K1" s="128" t="s">
        <v>364</v>
      </c>
      <c r="L1" s="128" t="s">
        <v>8</v>
      </c>
      <c r="M1" s="128" t="s">
        <v>9</v>
      </c>
      <c r="N1" s="128" t="s">
        <v>10</v>
      </c>
      <c r="O1" s="128" t="s">
        <v>11</v>
      </c>
      <c r="P1" s="128" t="s">
        <v>365</v>
      </c>
      <c r="Q1" s="128" t="s">
        <v>366</v>
      </c>
      <c r="R1" s="128" t="s">
        <v>367</v>
      </c>
      <c r="S1" s="128" t="s">
        <v>368</v>
      </c>
      <c r="T1" s="128" t="s">
        <v>369</v>
      </c>
      <c r="U1" s="128" t="s">
        <v>370</v>
      </c>
      <c r="V1" s="128" t="s">
        <v>371</v>
      </c>
      <c r="W1" s="128" t="s">
        <v>372</v>
      </c>
      <c r="X1" s="128" t="s">
        <v>21</v>
      </c>
      <c r="Y1" s="128" t="s">
        <v>22</v>
      </c>
      <c r="Z1" s="128" t="s">
        <v>23</v>
      </c>
      <c r="AA1" s="128" t="s">
        <v>24</v>
      </c>
      <c r="AB1" s="128" t="s">
        <v>25</v>
      </c>
      <c r="AC1" s="128" t="s">
        <v>328</v>
      </c>
      <c r="AD1" s="128" t="s">
        <v>329</v>
      </c>
      <c r="AE1" s="128" t="s">
        <v>330</v>
      </c>
      <c r="AF1" s="128" t="s">
        <v>373</v>
      </c>
      <c r="AG1" s="128" t="s">
        <v>374</v>
      </c>
      <c r="AH1" s="128" t="s">
        <v>375</v>
      </c>
      <c r="AI1" s="128" t="s">
        <v>376</v>
      </c>
      <c r="AJ1" s="128" t="s">
        <v>376</v>
      </c>
      <c r="AK1" s="128" t="s">
        <v>376</v>
      </c>
      <c r="AL1" s="128" t="s">
        <v>376</v>
      </c>
      <c r="AM1" s="128" t="s">
        <v>376</v>
      </c>
      <c r="AN1" s="128" t="s">
        <v>331</v>
      </c>
      <c r="AO1" s="128" t="s">
        <v>332</v>
      </c>
      <c r="AP1" s="128" t="s">
        <v>333</v>
      </c>
      <c r="AQ1" s="128" t="s">
        <v>334</v>
      </c>
      <c r="AR1" s="128" t="s">
        <v>233</v>
      </c>
      <c r="AS1" s="128" t="s">
        <v>152</v>
      </c>
      <c r="AT1" s="128" t="s">
        <v>153</v>
      </c>
      <c r="AU1" s="128" t="s">
        <v>154</v>
      </c>
      <c r="AV1" s="128" t="s">
        <v>155</v>
      </c>
      <c r="AW1" s="128" t="s">
        <v>156</v>
      </c>
      <c r="AX1" s="128" t="s">
        <v>157</v>
      </c>
      <c r="AY1" s="128" t="s">
        <v>158</v>
      </c>
      <c r="AZ1" s="128" t="s">
        <v>327</v>
      </c>
    </row>
    <row r="2" spans="1:52" ht="11.5" thickTop="1">
      <c r="A2" s="1" t="s">
        <v>26</v>
      </c>
      <c r="B2" s="1" t="s">
        <v>138</v>
      </c>
      <c r="C2" s="1" t="s">
        <v>136</v>
      </c>
      <c r="D2" s="1"/>
      <c r="E2" s="1"/>
      <c r="F2" s="1"/>
      <c r="G2" s="1"/>
      <c r="H2" s="1"/>
      <c r="I2" s="1"/>
      <c r="J2" s="1"/>
      <c r="K2" s="1"/>
      <c r="L2" s="1"/>
      <c r="M2" s="1"/>
      <c r="N2" s="1"/>
      <c r="O2" s="1"/>
      <c r="P2" s="1"/>
      <c r="Q2" s="1"/>
      <c r="R2" s="1"/>
      <c r="S2" s="1"/>
      <c r="T2" s="1"/>
      <c r="U2" s="1"/>
      <c r="V2" s="1"/>
      <c r="W2" s="1"/>
      <c r="X2" s="1"/>
      <c r="Y2" s="1"/>
      <c r="Z2" s="1"/>
      <c r="AA2" s="1"/>
      <c r="AB2" s="1"/>
      <c r="AC2" s="1"/>
    </row>
    <row r="3" spans="1:52">
      <c r="A3" s="1" t="s">
        <v>26</v>
      </c>
      <c r="B3" s="1" t="s">
        <v>139</v>
      </c>
      <c r="C3" s="1" t="s">
        <v>135</v>
      </c>
      <c r="D3" s="1"/>
      <c r="E3" s="1"/>
      <c r="F3" s="1"/>
      <c r="G3" s="1"/>
      <c r="H3" s="1"/>
      <c r="I3" s="1"/>
      <c r="J3" s="1"/>
      <c r="K3" s="1"/>
      <c r="L3" s="1"/>
      <c r="M3" s="1"/>
      <c r="N3" s="1"/>
      <c r="O3" s="1"/>
      <c r="P3" s="1"/>
      <c r="Q3" s="1"/>
      <c r="R3" s="1"/>
      <c r="S3" s="1"/>
      <c r="T3" s="1"/>
      <c r="U3" s="1"/>
      <c r="V3" s="1"/>
      <c r="W3" s="1"/>
      <c r="X3" s="1"/>
      <c r="Y3" s="1"/>
      <c r="Z3" s="1"/>
      <c r="AA3" s="1"/>
      <c r="AB3" s="1"/>
      <c r="AC3" s="1"/>
    </row>
    <row r="4" spans="1:52">
      <c r="A4" s="1" t="s">
        <v>26</v>
      </c>
      <c r="B4" s="1" t="s">
        <v>140</v>
      </c>
      <c r="C4" s="1" t="s">
        <v>137</v>
      </c>
      <c r="D4" s="1"/>
      <c r="E4" s="1"/>
      <c r="F4" s="1"/>
      <c r="G4" s="1"/>
      <c r="H4" s="1"/>
      <c r="I4" s="1"/>
      <c r="J4" s="1"/>
      <c r="K4" s="1"/>
      <c r="L4" s="1"/>
      <c r="M4" s="1"/>
      <c r="N4" s="1"/>
      <c r="O4" s="1"/>
      <c r="P4" s="1"/>
      <c r="Q4" s="1"/>
      <c r="R4" s="1"/>
      <c r="S4" s="1"/>
      <c r="T4" s="1"/>
      <c r="U4" s="1"/>
      <c r="V4" s="1"/>
      <c r="W4" s="1"/>
      <c r="X4" s="1"/>
      <c r="Y4" s="1"/>
      <c r="Z4" s="1"/>
      <c r="AA4" s="1"/>
      <c r="AB4" s="1"/>
      <c r="AC4" s="1"/>
    </row>
    <row r="5" spans="1:52">
      <c r="A5" s="1" t="s">
        <v>26</v>
      </c>
      <c r="B5" s="1" t="s">
        <v>143</v>
      </c>
      <c r="C5" s="1" t="s">
        <v>142</v>
      </c>
      <c r="D5" s="1"/>
      <c r="E5" s="1"/>
      <c r="F5" s="1"/>
      <c r="G5" s="1"/>
      <c r="H5" s="1"/>
      <c r="I5" s="1"/>
      <c r="J5" s="1"/>
      <c r="K5" s="1"/>
      <c r="L5" s="1"/>
      <c r="M5" s="1"/>
      <c r="N5" s="1"/>
      <c r="O5" s="1"/>
      <c r="P5" s="1"/>
      <c r="Q5" s="1"/>
      <c r="R5" s="1"/>
      <c r="S5" s="1"/>
      <c r="T5" s="1"/>
      <c r="U5" s="1"/>
      <c r="V5" s="1"/>
      <c r="W5" s="1"/>
      <c r="X5" s="1"/>
      <c r="Y5" s="1"/>
      <c r="Z5" s="1"/>
      <c r="AA5" s="1"/>
      <c r="AB5" s="1"/>
      <c r="AC5" s="1"/>
    </row>
    <row r="6" spans="1:52">
      <c r="A6" s="2"/>
      <c r="B6" s="2"/>
      <c r="C6" s="2"/>
      <c r="D6" s="2"/>
      <c r="E6" s="2"/>
      <c r="F6" s="2"/>
      <c r="G6" s="2"/>
      <c r="H6" s="2"/>
      <c r="I6" s="2"/>
      <c r="J6" s="2"/>
      <c r="K6" s="2"/>
      <c r="L6" s="2"/>
      <c r="M6" s="2"/>
      <c r="N6" s="2"/>
      <c r="O6" s="2"/>
      <c r="P6" s="2"/>
      <c r="Q6" s="2"/>
      <c r="R6" s="2"/>
      <c r="S6" s="2"/>
      <c r="T6" s="2"/>
      <c r="U6" s="2"/>
      <c r="V6" s="2"/>
      <c r="W6" s="2"/>
      <c r="X6" s="2"/>
      <c r="Y6" s="2"/>
      <c r="Z6" s="2"/>
      <c r="AA6" s="2"/>
      <c r="AB6" s="2"/>
      <c r="AC6" s="2"/>
    </row>
    <row r="7" spans="1:52">
      <c r="A7" s="2"/>
      <c r="B7" s="2"/>
      <c r="C7" s="2"/>
      <c r="D7" s="2"/>
      <c r="E7" s="2"/>
      <c r="F7" s="2"/>
      <c r="G7" s="2"/>
      <c r="H7" s="2"/>
      <c r="I7" s="2"/>
      <c r="J7" s="2"/>
      <c r="K7" s="2"/>
      <c r="L7" s="2"/>
      <c r="M7" s="2"/>
      <c r="N7" s="2"/>
      <c r="O7" s="2"/>
      <c r="P7" s="2"/>
      <c r="Q7" s="2"/>
      <c r="R7" s="2"/>
      <c r="S7" s="2"/>
      <c r="T7" s="2"/>
      <c r="U7" s="2"/>
      <c r="V7" s="2"/>
      <c r="W7" s="2"/>
      <c r="X7" s="2"/>
      <c r="Y7" s="2"/>
      <c r="Z7" s="2"/>
      <c r="AA7" s="2"/>
      <c r="AB7" s="2"/>
      <c r="AC7" s="2"/>
    </row>
    <row r="8" spans="1:52">
      <c r="A8" s="1"/>
      <c r="B8" s="1"/>
      <c r="C8" s="1"/>
      <c r="D8" s="1"/>
      <c r="E8" s="1"/>
      <c r="F8" s="1"/>
      <c r="G8" s="1"/>
      <c r="H8" s="1"/>
      <c r="I8" s="1"/>
      <c r="J8" s="1"/>
      <c r="K8" s="1"/>
      <c r="L8" s="1"/>
      <c r="M8" s="1"/>
      <c r="N8" s="1"/>
      <c r="O8" s="1"/>
      <c r="P8" s="1"/>
      <c r="Q8" s="1"/>
      <c r="R8" s="1"/>
      <c r="S8" s="1"/>
      <c r="T8" s="1"/>
      <c r="U8" s="1"/>
      <c r="V8" s="1"/>
      <c r="W8" s="1"/>
      <c r="X8" s="1"/>
      <c r="Y8" s="1"/>
      <c r="Z8" s="1"/>
      <c r="AA8" s="1"/>
      <c r="AB8" s="1"/>
      <c r="AC8" s="1"/>
    </row>
    <row r="9" spans="1:52">
      <c r="A9" s="1"/>
      <c r="B9" s="1"/>
      <c r="C9" s="1"/>
      <c r="D9" s="1"/>
      <c r="E9" s="1"/>
      <c r="F9" s="1"/>
      <c r="G9" s="1"/>
      <c r="H9" s="1"/>
      <c r="I9" s="1"/>
      <c r="J9" s="1"/>
      <c r="K9" s="1"/>
      <c r="L9" s="1"/>
      <c r="M9" s="1"/>
      <c r="N9" s="1"/>
      <c r="O9" s="1"/>
      <c r="P9" s="1"/>
      <c r="Q9" s="1"/>
      <c r="R9" s="1"/>
      <c r="S9" s="1"/>
      <c r="T9" s="1"/>
      <c r="U9" s="1"/>
      <c r="V9" s="1"/>
      <c r="W9" s="1"/>
      <c r="X9" s="1"/>
      <c r="Y9" s="1"/>
      <c r="Z9" s="1"/>
      <c r="AA9" s="1"/>
      <c r="AB9" s="1"/>
      <c r="AC9" s="1"/>
    </row>
    <row r="10" spans="1:52">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row>
    <row r="11" spans="1:52">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row>
    <row r="12" spans="1:52">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row>
    <row r="13" spans="1:52">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row>
    <row r="14" spans="1:52">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row>
    <row r="15" spans="1:52">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row>
    <row r="16" spans="1:52">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row>
    <row r="17" spans="1:29">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row>
    <row r="18" spans="1:29">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row>
    <row r="19" spans="1:29">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row>
    <row r="20" spans="1:29">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row>
    <row r="21" spans="1:29">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row>
    <row r="22" spans="1:29">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row>
    <row r="23" spans="1:29">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row>
    <row r="24" spans="1:29">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row>
    <row r="25" spans="1:29">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row>
    <row r="26" spans="1:29">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row>
    <row r="27" spans="1:29">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row>
    <row r="28" spans="1:29">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row>
    <row r="29" spans="1:29">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row>
    <row r="30" spans="1:29">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row>
    <row r="31" spans="1:29">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row>
    <row r="32" spans="1:29">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row>
    <row r="33" spans="1:29">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row>
    <row r="34" spans="1:29">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row>
    <row r="35" spans="1:29">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row>
    <row r="36" spans="1:29">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row>
    <row r="37" spans="1:29">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row>
    <row r="38" spans="1:29">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row>
    <row r="39" spans="1:29">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row>
    <row r="40" spans="1:29">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row>
    <row r="41" spans="1:29">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row>
    <row r="42" spans="1:29">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row>
    <row r="43" spans="1:29">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row>
    <row r="44" spans="1:29">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row>
    <row r="45" spans="1:29">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row>
    <row r="46" spans="1:29">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row>
    <row r="47" spans="1:29">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row>
    <row r="48" spans="1:29">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row>
    <row r="49" spans="1:29">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row>
    <row r="50" spans="1:29">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row>
    <row r="51" spans="1:29">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row>
    <row r="52" spans="1:29">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row>
    <row r="53" spans="1:29">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row>
    <row r="54" spans="1:29">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row>
    <row r="55" spans="1:29">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row>
    <row r="56" spans="1:29">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row>
    <row r="57" spans="1:29">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row>
    <row r="58" spans="1:29">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row>
    <row r="59" spans="1:29">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row>
    <row r="60" spans="1:29">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row>
    <row r="61" spans="1:29">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row>
    <row r="62" spans="1:29">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row>
    <row r="63" spans="1:29">
      <c r="A63" s="1"/>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row>
    <row r="64" spans="1:29">
      <c r="A64" s="1"/>
      <c r="D64" s="1"/>
      <c r="I64" s="1"/>
    </row>
    <row r="65" spans="1:29">
      <c r="A65" s="1"/>
      <c r="D65" s="1"/>
      <c r="I65" s="1"/>
    </row>
    <row r="66" spans="1:29">
      <c r="A66" s="1"/>
      <c r="D66" s="1"/>
      <c r="I66" s="1"/>
    </row>
    <row r="67" spans="1:29">
      <c r="A67" s="1"/>
      <c r="D67" s="1"/>
      <c r="I67" s="1"/>
      <c r="Y67" s="1"/>
      <c r="Z67" s="1"/>
      <c r="AA67" s="1"/>
      <c r="AB67" s="1"/>
      <c r="AC67" s="1"/>
    </row>
    <row r="68" spans="1:29">
      <c r="A68" s="1"/>
      <c r="D68" s="1"/>
      <c r="I68" s="1"/>
    </row>
    <row r="69" spans="1:29">
      <c r="A69" s="1"/>
      <c r="D69" s="1"/>
      <c r="I69" s="1"/>
    </row>
    <row r="70" spans="1:29">
      <c r="A70" s="1"/>
      <c r="B70" s="3"/>
      <c r="C70" s="3"/>
      <c r="D70" s="2"/>
      <c r="E70" s="3"/>
      <c r="F70" s="3"/>
      <c r="G70" s="3"/>
      <c r="H70" s="3"/>
      <c r="I70" s="2"/>
      <c r="J70" s="3"/>
      <c r="K70" s="3"/>
      <c r="L70" s="3"/>
      <c r="M70" s="3"/>
      <c r="N70" s="3"/>
      <c r="O70" s="3"/>
      <c r="P70" s="3"/>
      <c r="Q70" s="3"/>
      <c r="R70" s="3"/>
      <c r="S70" s="3"/>
      <c r="T70" s="3"/>
      <c r="U70" s="3"/>
      <c r="V70" s="3"/>
      <c r="W70" s="3"/>
      <c r="X70" s="3"/>
      <c r="Y70" s="3"/>
      <c r="Z70" s="3"/>
      <c r="AA70" s="3"/>
      <c r="AB70" s="3"/>
      <c r="AC70" s="3"/>
    </row>
    <row r="71" spans="1:29">
      <c r="A71" s="1"/>
      <c r="B71" s="3"/>
      <c r="C71" s="3"/>
      <c r="D71" s="2"/>
      <c r="E71" s="3"/>
      <c r="F71" s="3"/>
      <c r="G71" s="3"/>
      <c r="H71" s="3"/>
      <c r="I71" s="2"/>
      <c r="J71" s="3"/>
      <c r="K71" s="3"/>
      <c r="L71" s="3"/>
      <c r="M71" s="3"/>
      <c r="N71" s="3"/>
      <c r="O71" s="3"/>
      <c r="P71" s="3"/>
      <c r="Q71" s="3"/>
      <c r="R71" s="3"/>
      <c r="S71" s="3"/>
      <c r="T71" s="3"/>
      <c r="U71" s="3"/>
      <c r="V71" s="3"/>
      <c r="W71" s="3"/>
      <c r="X71" s="3"/>
      <c r="Y71" s="3"/>
      <c r="Z71" s="3"/>
      <c r="AA71" s="3"/>
      <c r="AB71" s="3"/>
      <c r="AC71" s="3"/>
    </row>
    <row r="72" spans="1:29">
      <c r="A72" s="1"/>
      <c r="B72" s="3"/>
      <c r="C72" s="3"/>
      <c r="D72" s="2"/>
      <c r="E72" s="3"/>
      <c r="F72" s="3"/>
      <c r="G72" s="3"/>
      <c r="H72" s="3"/>
      <c r="I72" s="2"/>
      <c r="J72" s="3"/>
      <c r="K72" s="3"/>
      <c r="L72" s="3"/>
      <c r="M72" s="3"/>
      <c r="N72" s="3"/>
      <c r="O72" s="3"/>
      <c r="P72" s="3"/>
      <c r="Q72" s="3"/>
      <c r="R72" s="3"/>
      <c r="S72" s="3"/>
      <c r="T72" s="3"/>
      <c r="U72" s="3"/>
      <c r="V72" s="3"/>
      <c r="W72" s="3"/>
      <c r="X72" s="3"/>
      <c r="Y72" s="3"/>
      <c r="Z72" s="3"/>
      <c r="AA72" s="3"/>
      <c r="AB72" s="3"/>
      <c r="AC72" s="3"/>
    </row>
    <row r="73" spans="1:29">
      <c r="A73" s="1"/>
      <c r="B73" s="3"/>
      <c r="C73" s="3"/>
      <c r="D73" s="2"/>
      <c r="E73" s="3"/>
      <c r="F73" s="3"/>
      <c r="G73" s="3"/>
      <c r="H73" s="3"/>
      <c r="I73" s="3"/>
      <c r="J73" s="3"/>
      <c r="K73" s="3"/>
      <c r="L73" s="3"/>
      <c r="M73" s="3"/>
      <c r="N73" s="3"/>
      <c r="O73" s="3"/>
      <c r="P73" s="3"/>
      <c r="Q73" s="3"/>
      <c r="R73" s="3"/>
      <c r="S73" s="3"/>
      <c r="T73" s="3"/>
      <c r="U73" s="3"/>
      <c r="V73" s="3"/>
      <c r="W73" s="3"/>
      <c r="X73" s="3"/>
      <c r="Y73" s="3"/>
      <c r="Z73" s="3"/>
      <c r="AA73" s="3"/>
      <c r="AB73" s="3"/>
      <c r="AC73" s="3"/>
    </row>
    <row r="74" spans="1:29">
      <c r="A74" s="1"/>
      <c r="B74" s="3"/>
      <c r="C74" s="3"/>
      <c r="D74" s="2"/>
      <c r="E74" s="3"/>
      <c r="F74" s="3"/>
      <c r="G74" s="3"/>
      <c r="H74" s="3"/>
      <c r="I74" s="3"/>
      <c r="J74" s="3"/>
      <c r="K74" s="3"/>
      <c r="L74" s="3"/>
      <c r="M74" s="3"/>
      <c r="N74" s="3"/>
      <c r="O74" s="3"/>
      <c r="P74" s="3"/>
      <c r="Q74" s="3"/>
      <c r="R74" s="3"/>
      <c r="S74" s="3"/>
      <c r="T74" s="3"/>
      <c r="U74" s="3"/>
      <c r="V74" s="3"/>
      <c r="W74" s="3"/>
      <c r="X74" s="3"/>
      <c r="Y74" s="3"/>
      <c r="Z74" s="3"/>
      <c r="AA74" s="3"/>
      <c r="AB74" s="3"/>
      <c r="AC74" s="3"/>
    </row>
    <row r="75" spans="1:29">
      <c r="A75" s="1"/>
      <c r="D75" s="1"/>
      <c r="I75" s="1"/>
    </row>
    <row r="76" spans="1:29">
      <c r="A76" s="1"/>
      <c r="D76" s="1"/>
      <c r="I76" s="1"/>
    </row>
    <row r="77" spans="1:29">
      <c r="A77" s="1"/>
      <c r="B77" s="5"/>
      <c r="D77" s="1"/>
      <c r="I77" s="1"/>
    </row>
    <row r="78" spans="1:29">
      <c r="A78" s="1"/>
      <c r="D78" s="1"/>
      <c r="I78" s="1"/>
    </row>
    <row r="79" spans="1:29">
      <c r="A79" s="1"/>
      <c r="D79" s="1"/>
      <c r="I79" s="1"/>
    </row>
    <row r="80" spans="1:29">
      <c r="A80" s="1"/>
      <c r="Y80" s="1"/>
      <c r="Z80" s="1"/>
      <c r="AA80" s="1"/>
      <c r="AB80" s="1"/>
      <c r="AC80" s="1"/>
    </row>
    <row r="81" spans="1:29">
      <c r="A81" s="1"/>
      <c r="Y81" s="1"/>
      <c r="Z81" s="1"/>
      <c r="AA81" s="1"/>
      <c r="AB81" s="1"/>
      <c r="AC81" s="1"/>
    </row>
  </sheetData>
  <phoneticPr fontId="4"/>
  <conditionalFormatting sqref="A98:XFD65536 A2:XFD81 BA1:XFD1">
    <cfRule type="expression" dxfId="452" priority="22" stopIfTrue="1">
      <formula>MOD(ROW(),2) = 1</formula>
    </cfRule>
  </conditionalFormatting>
  <pageMargins left="0.39370078740157483" right="0.39370078740157483" top="0.39370078740157483" bottom="0.39370078740157483" header="0.51181102362204722" footer="0.51181102362204722"/>
  <pageSetup paperSize="9" scale="80" orientation="portrait" verticalDpi="1200" r:id="rId1"/>
  <headerFooter alignWithMargins="0"/>
  <drawing r:id="rId2"/>
  <legacyDrawing r:id="rId3"/>
  <controls>
    <mc:AlternateContent xmlns:mc="http://schemas.openxmlformats.org/markup-compatibility/2006">
      <mc:Choice Requires="x14">
        <control shapeId="3073" r:id="rId4" name="CommandButton2">
          <controlPr defaultSize="0" autoLine="0" r:id="rId5">
            <anchor moveWithCells="1">
              <from>
                <xdr:col>0</xdr:col>
                <xdr:colOff>0</xdr:colOff>
                <xdr:row>0</xdr:row>
                <xdr:rowOff>0</xdr:rowOff>
              </from>
              <to>
                <xdr:col>1</xdr:col>
                <xdr:colOff>171450</xdr:colOff>
                <xdr:row>0</xdr:row>
                <xdr:rowOff>234950</xdr:rowOff>
              </to>
            </anchor>
          </controlPr>
        </control>
      </mc:Choice>
      <mc:Fallback>
        <control shapeId="3073" r:id="rId4" name="CommandButton2"/>
      </mc:Fallback>
    </mc:AlternateContent>
    <mc:AlternateContent xmlns:mc="http://schemas.openxmlformats.org/markup-compatibility/2006">
      <mc:Choice Requires="x14">
        <control shapeId="3074" r:id="rId6" name="Button 2">
          <controlPr defaultSize="0" print="0" autoFill="0" autoPict="0" macro="[0]!Coloring">
            <anchor moveWithCells="1" sizeWithCells="1">
              <from>
                <xdr:col>0</xdr:col>
                <xdr:colOff>425450</xdr:colOff>
                <xdr:row>79</xdr:row>
                <xdr:rowOff>120650</xdr:rowOff>
              </from>
              <to>
                <xdr:col>3</xdr:col>
                <xdr:colOff>190500</xdr:colOff>
                <xdr:row>87</xdr:row>
                <xdr:rowOff>114300</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AZ41"/>
  <sheetViews>
    <sheetView zoomScale="115" zoomScaleNormal="115" workbookViewId="0">
      <pane xSplit="2" ySplit="1" topLeftCell="C2" activePane="bottomRight" state="frozen"/>
      <selection pane="topRight" activeCell="C1" sqref="C1"/>
      <selection pane="bottomLeft" activeCell="A2" sqref="A2"/>
      <selection pane="bottomRight" activeCell="D10" sqref="D10"/>
    </sheetView>
  </sheetViews>
  <sheetFormatPr defaultColWidth="9.33203125" defaultRowHeight="11"/>
  <cols>
    <col min="2" max="4" width="20.109375" customWidth="1"/>
    <col min="5" max="5" width="22.88671875" customWidth="1"/>
    <col min="6" max="6" width="13" customWidth="1"/>
    <col min="7" max="7" width="13.6640625" customWidth="1"/>
    <col min="9" max="9" width="15" customWidth="1"/>
    <col min="10" max="10" width="11.33203125" customWidth="1"/>
    <col min="15" max="15" width="43.109375" customWidth="1"/>
    <col min="24" max="24" width="9.33203125" customWidth="1"/>
    <col min="25" max="29" width="14.88671875" customWidth="1"/>
    <col min="30" max="30" width="12.33203125" customWidth="1"/>
    <col min="31" max="31" width="11.44140625" customWidth="1"/>
    <col min="41" max="41" width="14.109375" customWidth="1"/>
    <col min="42" max="42" width="16.44140625" customWidth="1"/>
    <col min="43" max="43" width="13.109375" customWidth="1"/>
  </cols>
  <sheetData>
    <row r="1" spans="1:52" s="4" customFormat="1" ht="51" customHeight="1">
      <c r="A1" s="4" t="s">
        <v>0</v>
      </c>
      <c r="B1" s="4" t="s">
        <v>1</v>
      </c>
      <c r="C1" s="4" t="s">
        <v>105</v>
      </c>
      <c r="D1" s="4" t="s">
        <v>175</v>
      </c>
      <c r="E1" s="4" t="s">
        <v>2</v>
      </c>
      <c r="F1" s="4" t="s">
        <v>3</v>
      </c>
      <c r="G1" s="4" t="s">
        <v>4</v>
      </c>
      <c r="H1" s="4" t="s">
        <v>5</v>
      </c>
      <c r="I1" s="4" t="s">
        <v>6</v>
      </c>
      <c r="J1" s="4" t="s">
        <v>7</v>
      </c>
      <c r="K1" s="4" t="s">
        <v>8</v>
      </c>
      <c r="L1" s="4" t="s">
        <v>9</v>
      </c>
      <c r="M1" s="4" t="s">
        <v>10</v>
      </c>
      <c r="N1" s="4" t="s">
        <v>11</v>
      </c>
      <c r="O1" s="4" t="s">
        <v>124</v>
      </c>
      <c r="P1" s="4" t="s">
        <v>12</v>
      </c>
      <c r="Q1" s="4" t="s">
        <v>13</v>
      </c>
      <c r="R1" s="4" t="s">
        <v>14</v>
      </c>
      <c r="S1" s="4" t="s">
        <v>15</v>
      </c>
      <c r="T1" s="4" t="s">
        <v>16</v>
      </c>
      <c r="U1" s="4" t="s">
        <v>17</v>
      </c>
      <c r="V1" s="4" t="s">
        <v>18</v>
      </c>
      <c r="W1" s="4" t="s">
        <v>19</v>
      </c>
      <c r="X1" s="4" t="s">
        <v>20</v>
      </c>
      <c r="Y1" s="4" t="s">
        <v>131</v>
      </c>
      <c r="Z1" s="4" t="s">
        <v>22</v>
      </c>
      <c r="AA1" s="4" t="s">
        <v>23</v>
      </c>
      <c r="AB1" s="4" t="s">
        <v>24</v>
      </c>
      <c r="AC1" s="4" t="s">
        <v>25</v>
      </c>
      <c r="AD1" s="4" t="s">
        <v>132</v>
      </c>
      <c r="AE1" s="4" t="s">
        <v>133</v>
      </c>
      <c r="AF1" s="4" t="s">
        <v>134</v>
      </c>
      <c r="AG1" s="4" t="s">
        <v>127</v>
      </c>
      <c r="AH1" s="4" t="s">
        <v>128</v>
      </c>
      <c r="AI1" s="4" t="s">
        <v>127</v>
      </c>
      <c r="AJ1" s="4" t="s">
        <v>128</v>
      </c>
      <c r="AK1" s="4" t="s">
        <v>127</v>
      </c>
      <c r="AL1" s="4" t="s">
        <v>128</v>
      </c>
      <c r="AM1" s="4" t="s">
        <v>127</v>
      </c>
      <c r="AN1" s="4" t="s">
        <v>128</v>
      </c>
      <c r="AO1" s="4" t="s">
        <v>159</v>
      </c>
      <c r="AP1" s="4" t="s">
        <v>160</v>
      </c>
      <c r="AQ1" s="4" t="s">
        <v>149</v>
      </c>
      <c r="AR1" s="4" t="s">
        <v>150</v>
      </c>
      <c r="AS1" s="4" t="s">
        <v>151</v>
      </c>
      <c r="AT1" s="4" t="s">
        <v>152</v>
      </c>
      <c r="AU1" s="4" t="s">
        <v>153</v>
      </c>
      <c r="AV1" s="4" t="s">
        <v>154</v>
      </c>
      <c r="AW1" s="4" t="s">
        <v>155</v>
      </c>
      <c r="AX1" s="4" t="s">
        <v>156</v>
      </c>
      <c r="AY1" s="4" t="s">
        <v>157</v>
      </c>
      <c r="AZ1" s="4" t="s">
        <v>158</v>
      </c>
    </row>
    <row r="2" spans="1:52" ht="12">
      <c r="A2" s="2" t="s">
        <v>26</v>
      </c>
      <c r="B2" s="6" t="s">
        <v>147</v>
      </c>
      <c r="C2" s="2" t="s">
        <v>834</v>
      </c>
      <c r="D2" s="2" t="s">
        <v>719</v>
      </c>
      <c r="E2" s="2" t="s">
        <v>497</v>
      </c>
      <c r="F2" s="2"/>
      <c r="G2" s="2"/>
      <c r="H2" s="2"/>
      <c r="I2" s="2" t="s">
        <v>145</v>
      </c>
      <c r="J2" s="2"/>
      <c r="K2" s="2"/>
      <c r="L2" s="2"/>
      <c r="M2" s="2"/>
      <c r="N2" s="2"/>
      <c r="O2" s="2" t="s">
        <v>144</v>
      </c>
      <c r="P2" s="2"/>
      <c r="Q2" s="2"/>
      <c r="R2" s="2"/>
      <c r="S2" s="2"/>
      <c r="T2" s="2"/>
      <c r="U2" s="2"/>
      <c r="V2" s="2"/>
      <c r="W2" s="2"/>
      <c r="X2" s="2"/>
      <c r="Y2" s="2">
        <v>0</v>
      </c>
      <c r="Z2" s="2">
        <v>0</v>
      </c>
      <c r="AA2" s="2">
        <v>0</v>
      </c>
      <c r="AB2" s="2">
        <v>0</v>
      </c>
      <c r="AC2" s="2">
        <v>0</v>
      </c>
      <c r="AD2" s="2"/>
      <c r="AE2" s="2"/>
      <c r="AF2" s="2"/>
      <c r="AG2" s="3"/>
      <c r="AH2" s="3"/>
      <c r="AI2" s="3"/>
      <c r="AJ2" s="3"/>
      <c r="AK2" s="3"/>
      <c r="AL2" s="3"/>
      <c r="AM2" s="3"/>
      <c r="AN2" s="3"/>
    </row>
    <row r="3" spans="1:52" ht="12">
      <c r="A3" s="2" t="s">
        <v>26</v>
      </c>
      <c r="B3" s="6" t="s">
        <v>148</v>
      </c>
      <c r="C3" s="2" t="s">
        <v>174</v>
      </c>
      <c r="D3" s="2"/>
      <c r="E3" s="2"/>
      <c r="F3" s="2"/>
      <c r="G3" s="2"/>
      <c r="H3" s="2"/>
      <c r="I3" s="2" t="s">
        <v>145</v>
      </c>
      <c r="J3" s="2"/>
      <c r="K3" s="2"/>
      <c r="L3" s="2"/>
      <c r="M3" s="2"/>
      <c r="N3" s="2"/>
      <c r="O3" s="2" t="s">
        <v>146</v>
      </c>
      <c r="P3" s="2"/>
      <c r="Q3" s="2"/>
      <c r="R3" s="2"/>
      <c r="S3" s="2"/>
      <c r="T3" s="2"/>
      <c r="U3" s="2"/>
      <c r="V3" s="2"/>
      <c r="W3" s="2"/>
      <c r="X3" s="2"/>
      <c r="Y3" s="2">
        <v>0</v>
      </c>
      <c r="Z3" s="2">
        <v>0</v>
      </c>
      <c r="AA3" s="2">
        <v>0</v>
      </c>
      <c r="AB3" s="2">
        <v>0</v>
      </c>
      <c r="AC3" s="2">
        <v>0</v>
      </c>
      <c r="AD3" s="2"/>
      <c r="AE3" s="2"/>
      <c r="AF3" s="2"/>
      <c r="AG3" s="3"/>
      <c r="AH3" s="3"/>
      <c r="AI3" s="3"/>
      <c r="AJ3" s="3"/>
      <c r="AK3" s="3"/>
      <c r="AL3" s="3"/>
      <c r="AM3" s="3"/>
      <c r="AN3" s="3"/>
    </row>
    <row r="4" spans="1:52">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row>
    <row r="5" spans="1:52">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row>
    <row r="6" spans="1:52">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3"/>
      <c r="AH6" s="3"/>
      <c r="AI6" s="3"/>
      <c r="AJ6" s="3"/>
      <c r="AK6" s="3"/>
      <c r="AL6" s="3"/>
      <c r="AM6" s="3"/>
      <c r="AN6" s="3"/>
    </row>
    <row r="7" spans="1:52">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row>
    <row r="8" spans="1:52">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3"/>
      <c r="AH8" s="3"/>
      <c r="AI8" s="3"/>
      <c r="AJ8" s="3"/>
      <c r="AK8" s="3"/>
      <c r="AL8" s="3"/>
      <c r="AM8" s="3"/>
      <c r="AN8" s="3"/>
    </row>
    <row r="9" spans="1:52">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row>
    <row r="10" spans="1:52">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row>
    <row r="11" spans="1:52">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row>
    <row r="12" spans="1:52">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row>
    <row r="13" spans="1:52">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row>
    <row r="14" spans="1:52">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row>
    <row r="15" spans="1:52">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row>
    <row r="16" spans="1:52">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row>
    <row r="17" spans="1:40">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row>
    <row r="18" spans="1:40">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3"/>
      <c r="AH18" s="3"/>
      <c r="AI18" s="3"/>
      <c r="AJ18" s="3"/>
      <c r="AK18" s="3"/>
      <c r="AL18" s="3"/>
      <c r="AM18" s="3"/>
      <c r="AN18" s="3"/>
    </row>
    <row r="19" spans="1:40">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row>
    <row r="20" spans="1:40">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row>
    <row r="21" spans="1:40">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row>
    <row r="22" spans="1:40">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row>
    <row r="23" spans="1:40">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row>
    <row r="24" spans="1:40">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row>
    <row r="25" spans="1:40">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row>
    <row r="26" spans="1:40">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row>
    <row r="27" spans="1:40">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row>
    <row r="28" spans="1:40">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row>
    <row r="29" spans="1:40">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row>
    <row r="30" spans="1:40">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3"/>
      <c r="AH30" s="3"/>
      <c r="AI30" s="3"/>
      <c r="AJ30" s="3"/>
      <c r="AK30" s="3"/>
      <c r="AL30" s="3"/>
      <c r="AM30" s="3"/>
      <c r="AN30" s="3"/>
    </row>
    <row r="31" spans="1:40">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row>
    <row r="32" spans="1:40">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row>
    <row r="33" spans="1:40">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3"/>
      <c r="AH33" s="3"/>
      <c r="AI33" s="3"/>
      <c r="AJ33" s="3"/>
      <c r="AK33" s="3"/>
      <c r="AL33" s="3"/>
      <c r="AM33" s="3"/>
      <c r="AN33" s="3"/>
    </row>
    <row r="34" spans="1:40">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3"/>
      <c r="AH34" s="3"/>
      <c r="AI34" s="3"/>
      <c r="AJ34" s="3"/>
      <c r="AK34" s="3"/>
      <c r="AL34" s="3"/>
      <c r="AM34" s="3"/>
      <c r="AN34" s="3"/>
    </row>
    <row r="35" spans="1:40">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row>
    <row r="36" spans="1:40">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3"/>
      <c r="AH36" s="3"/>
      <c r="AI36" s="3"/>
      <c r="AJ36" s="3"/>
      <c r="AK36" s="3"/>
      <c r="AL36" s="3"/>
      <c r="AM36" s="3"/>
      <c r="AN36" s="3"/>
    </row>
    <row r="37" spans="1:40">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3"/>
      <c r="AH37" s="3"/>
      <c r="AI37" s="3"/>
      <c r="AJ37" s="3"/>
      <c r="AK37" s="3"/>
      <c r="AL37" s="3"/>
      <c r="AM37" s="3"/>
      <c r="AN37" s="3"/>
    </row>
    <row r="38" spans="1:40">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3"/>
      <c r="AH38" s="3"/>
      <c r="AI38" s="3"/>
      <c r="AJ38" s="3"/>
      <c r="AK38" s="3"/>
      <c r="AL38" s="3"/>
      <c r="AM38" s="3"/>
      <c r="AN38" s="3"/>
    </row>
    <row r="39" spans="1:40">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row>
    <row r="40" spans="1:40">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3"/>
      <c r="AH40" s="3"/>
      <c r="AI40" s="3"/>
      <c r="AJ40" s="3"/>
      <c r="AK40" s="3"/>
      <c r="AL40" s="3"/>
      <c r="AM40" s="3"/>
      <c r="AN40" s="3"/>
    </row>
    <row r="41" spans="1:40">
      <c r="A41" s="2"/>
      <c r="B41" s="2"/>
      <c r="C41" s="2"/>
      <c r="D41" s="1"/>
      <c r="E41" s="1"/>
      <c r="I41" s="1"/>
      <c r="J41" s="1"/>
      <c r="K41" s="1"/>
      <c r="L41" s="1"/>
      <c r="M41" s="1"/>
      <c r="N41" s="1"/>
      <c r="Y41" s="1"/>
      <c r="Z41" s="1"/>
      <c r="AA41" s="1"/>
      <c r="AB41" s="1"/>
      <c r="AC41" s="1"/>
    </row>
  </sheetData>
  <phoneticPr fontId="4"/>
  <conditionalFormatting sqref="A58:XFD65526 AG6:AP6 AG9:AP17 AG25:AP32 AG39:AP41 A1:AN1 A4:AF41 AQ4:IV41 A2 P2:IV2 D2:N2 BA1:IV1">
    <cfRule type="expression" dxfId="451" priority="10" stopIfTrue="1">
      <formula>MOD(ROW(),2) = 1</formula>
    </cfRule>
  </conditionalFormatting>
  <conditionalFormatting sqref="A41">
    <cfRule type="expression" dxfId="450" priority="9" stopIfTrue="1">
      <formula>MOD(ROW(),2) = 1</formula>
    </cfRule>
  </conditionalFormatting>
  <conditionalFormatting sqref="A3 P3:IV3 D3:N3">
    <cfRule type="expression" dxfId="449" priority="8" stopIfTrue="1">
      <formula>MOD(ROW(),2) = 1</formula>
    </cfRule>
  </conditionalFormatting>
  <conditionalFormatting sqref="O2">
    <cfRule type="expression" dxfId="448" priority="7" stopIfTrue="1">
      <formula>MOD(ROW(),2) = 1</formula>
    </cfRule>
  </conditionalFormatting>
  <conditionalFormatting sqref="O3">
    <cfRule type="expression" dxfId="447" priority="6" stopIfTrue="1">
      <formula>MOD(ROW(),2) = 1</formula>
    </cfRule>
  </conditionalFormatting>
  <conditionalFormatting sqref="C2">
    <cfRule type="expression" dxfId="446" priority="5" stopIfTrue="1">
      <formula>MOD(ROW(),2) = 1</formula>
    </cfRule>
  </conditionalFormatting>
  <conditionalFormatting sqref="C3">
    <cfRule type="expression" dxfId="445" priority="4" stopIfTrue="1">
      <formula>MOD(ROW(),2) = 1</formula>
    </cfRule>
  </conditionalFormatting>
  <conditionalFormatting sqref="AR1:AZ1">
    <cfRule type="expression" dxfId="444" priority="3" stopIfTrue="1">
      <formula>MOD(ROW(),2) = 1</formula>
    </cfRule>
  </conditionalFormatting>
  <conditionalFormatting sqref="AO1 AQ1">
    <cfRule type="expression" dxfId="443" priority="2" stopIfTrue="1">
      <formula>MOD(ROW(),2) = 1</formula>
    </cfRule>
  </conditionalFormatting>
  <conditionalFormatting sqref="AP1">
    <cfRule type="expression" dxfId="442" priority="1" stopIfTrue="1">
      <formula>MOD(ROW(),2) = 1</formula>
    </cfRule>
  </conditionalFormatting>
  <pageMargins left="0.39370078740157483" right="0.39370078740157483" top="0.39370078740157483" bottom="0.39370078740157483" header="0.51181102362204722" footer="0.51181102362204722"/>
  <pageSetup paperSize="9" scale="80" orientation="portrait" verticalDpi="1200" r:id="rId1"/>
  <headerFooter alignWithMargins="0"/>
  <drawing r:id="rId2"/>
  <legacyDrawing r:id="rId3"/>
  <controls>
    <mc:AlternateContent xmlns:mc="http://schemas.openxmlformats.org/markup-compatibility/2006">
      <mc:Choice Requires="x14">
        <control shapeId="9217" r:id="rId4" name="CommandButton2">
          <controlPr defaultSize="0" autoLine="0" r:id="rId5">
            <anchor moveWithCells="1">
              <from>
                <xdr:col>0</xdr:col>
                <xdr:colOff>0</xdr:colOff>
                <xdr:row>0</xdr:row>
                <xdr:rowOff>0</xdr:rowOff>
              </from>
              <to>
                <xdr:col>1</xdr:col>
                <xdr:colOff>171450</xdr:colOff>
                <xdr:row>0</xdr:row>
                <xdr:rowOff>234950</xdr:rowOff>
              </to>
            </anchor>
          </controlPr>
        </control>
      </mc:Choice>
      <mc:Fallback>
        <control shapeId="9217" r:id="rId4" name="CommandButton2"/>
      </mc:Fallback>
    </mc:AlternateContent>
    <mc:AlternateContent xmlns:mc="http://schemas.openxmlformats.org/markup-compatibility/2006">
      <mc:Choice Requires="x14">
        <control shapeId="9218" r:id="rId6" name="Button 2">
          <controlPr defaultSize="0" print="0" autoFill="0" autoPict="0" macro="[0]!Coloring">
            <anchor moveWithCells="1" sizeWithCells="1">
              <from>
                <xdr:col>1</xdr:col>
                <xdr:colOff>482600</xdr:colOff>
                <xdr:row>55</xdr:row>
                <xdr:rowOff>101600</xdr:rowOff>
              </from>
              <to>
                <xdr:col>3</xdr:col>
                <xdr:colOff>768350</xdr:colOff>
                <xdr:row>57</xdr:row>
                <xdr:rowOff>120650</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BV3"/>
  <sheetViews>
    <sheetView zoomScale="115" zoomScaleNormal="115" workbookViewId="0">
      <pane xSplit="2" ySplit="1" topLeftCell="J2" activePane="bottomRight" state="frozen"/>
      <selection pane="topRight" activeCell="C1" sqref="C1"/>
      <selection pane="bottomLeft" activeCell="A2" sqref="A2"/>
      <selection pane="bottomRight" activeCell="J13" sqref="J13"/>
    </sheetView>
  </sheetViews>
  <sheetFormatPr defaultColWidth="9.33203125" defaultRowHeight="12"/>
  <cols>
    <col min="1" max="1" width="9.33203125" style="8"/>
    <col min="2" max="2" width="22.33203125" style="32" customWidth="1"/>
    <col min="3" max="3" width="20.109375" style="32" customWidth="1"/>
    <col min="4" max="4" width="19" style="32" customWidth="1"/>
    <col min="5" max="5" width="22.88671875" style="32" customWidth="1"/>
    <col min="6" max="6" width="13" style="8" customWidth="1"/>
    <col min="7" max="7" width="13.6640625" style="8" customWidth="1"/>
    <col min="8" max="8" width="13.88671875" style="8" customWidth="1"/>
    <col min="9" max="9" width="15" style="8" customWidth="1"/>
    <col min="10" max="10" width="11.33203125" style="8" customWidth="1"/>
    <col min="11" max="11" width="14.109375" style="8" customWidth="1"/>
    <col min="12" max="14" width="9.33203125" style="8"/>
    <col min="15" max="15" width="14.6640625" style="8" customWidth="1"/>
    <col min="16" max="22" width="9.33203125" style="8"/>
    <col min="23" max="23" width="9.33203125" style="8" customWidth="1"/>
    <col min="24" max="28" width="14.88671875" style="8" customWidth="1"/>
    <col min="29" max="29" width="12.33203125" style="8" customWidth="1"/>
    <col min="30" max="30" width="15.88671875" style="8" customWidth="1"/>
    <col min="31" max="31" width="15.109375" style="8" customWidth="1"/>
    <col min="32" max="40" width="9.33203125" style="8"/>
    <col min="41" max="41" width="15.44140625" style="8" customWidth="1"/>
    <col min="42" max="42" width="16.33203125" style="8" customWidth="1"/>
    <col min="43" max="43" width="21.88671875" style="8" customWidth="1"/>
    <col min="44" max="44" width="21.6640625" style="8" customWidth="1"/>
    <col min="45" max="51" width="9.33203125" style="8"/>
    <col min="52" max="52" width="45.88671875" style="8" customWidth="1"/>
    <col min="53" max="16384" width="9.33203125" style="8"/>
  </cols>
  <sheetData>
    <row r="1" spans="1:74" s="7" customFormat="1" ht="63.75" customHeight="1">
      <c r="A1" t="s">
        <v>337</v>
      </c>
      <c r="B1" t="s">
        <v>652</v>
      </c>
      <c r="C1" t="s">
        <v>105</v>
      </c>
      <c r="D1" t="s">
        <v>339</v>
      </c>
      <c r="E1" t="s">
        <v>352</v>
      </c>
      <c r="F1" t="s">
        <v>354</v>
      </c>
      <c r="G1" t="s">
        <v>356</v>
      </c>
      <c r="H1" t="s">
        <v>358</v>
      </c>
      <c r="I1" t="s">
        <v>6</v>
      </c>
      <c r="J1" t="s">
        <v>335</v>
      </c>
      <c r="K1" t="s">
        <v>336</v>
      </c>
      <c r="L1" t="s">
        <v>8</v>
      </c>
      <c r="M1" t="s">
        <v>9</v>
      </c>
      <c r="N1" t="s">
        <v>10</v>
      </c>
      <c r="O1" t="s">
        <v>11</v>
      </c>
      <c r="P1" t="s">
        <v>381</v>
      </c>
      <c r="Q1" t="s">
        <v>340</v>
      </c>
      <c r="R1" t="s">
        <v>341</v>
      </c>
      <c r="S1" t="s">
        <v>342</v>
      </c>
      <c r="T1" t="s">
        <v>343</v>
      </c>
      <c r="U1" t="s">
        <v>344</v>
      </c>
      <c r="V1" t="s">
        <v>345</v>
      </c>
      <c r="W1" t="s">
        <v>346</v>
      </c>
      <c r="X1" t="s">
        <v>21</v>
      </c>
      <c r="Y1" t="s">
        <v>377</v>
      </c>
      <c r="Z1" t="s">
        <v>23</v>
      </c>
      <c r="AA1" t="s">
        <v>24</v>
      </c>
      <c r="AB1" t="s">
        <v>25</v>
      </c>
      <c r="AC1" t="s">
        <v>349</v>
      </c>
      <c r="AD1" t="s">
        <v>391</v>
      </c>
      <c r="AE1" t="s">
        <v>392</v>
      </c>
      <c r="AF1" t="s">
        <v>347</v>
      </c>
      <c r="AG1" t="s">
        <v>348</v>
      </c>
      <c r="AH1" t="s">
        <v>350</v>
      </c>
      <c r="AI1" t="s">
        <v>349</v>
      </c>
      <c r="AJ1" t="s">
        <v>349</v>
      </c>
      <c r="AK1" t="s">
        <v>349</v>
      </c>
      <c r="AL1" t="s">
        <v>349</v>
      </c>
      <c r="AM1" t="s">
        <v>349</v>
      </c>
      <c r="AN1" t="s">
        <v>331</v>
      </c>
      <c r="AO1" t="s">
        <v>332</v>
      </c>
      <c r="AP1" t="s">
        <v>333</v>
      </c>
      <c r="AQ1" t="s">
        <v>389</v>
      </c>
      <c r="AR1" t="s">
        <v>233</v>
      </c>
      <c r="AS1" t="s">
        <v>152</v>
      </c>
      <c r="AT1" t="s">
        <v>153</v>
      </c>
      <c r="AU1" t="s">
        <v>154</v>
      </c>
      <c r="AV1" t="s">
        <v>155</v>
      </c>
      <c r="AW1" t="s">
        <v>156</v>
      </c>
      <c r="AX1" t="s">
        <v>157</v>
      </c>
      <c r="AY1" t="s">
        <v>158</v>
      </c>
      <c r="AZ1" t="s">
        <v>327</v>
      </c>
    </row>
    <row r="2" spans="1:74">
      <c r="A2" s="44" t="s">
        <v>26</v>
      </c>
      <c r="B2" s="35" t="s">
        <v>821</v>
      </c>
      <c r="C2" s="31" t="s">
        <v>703</v>
      </c>
      <c r="D2" s="31"/>
      <c r="E2" s="29" t="s">
        <v>276</v>
      </c>
      <c r="F2" s="43" t="s">
        <v>500</v>
      </c>
      <c r="G2" s="43" t="s">
        <v>501</v>
      </c>
      <c r="H2" s="44"/>
      <c r="I2" s="44"/>
      <c r="J2" s="44">
        <v>5.4550000000000001</v>
      </c>
      <c r="K2" s="44"/>
      <c r="L2" s="44">
        <v>380</v>
      </c>
      <c r="M2" s="44">
        <v>288</v>
      </c>
      <c r="N2" s="44"/>
      <c r="O2" s="44"/>
      <c r="P2" s="43">
        <v>5</v>
      </c>
      <c r="Q2" s="44"/>
      <c r="R2" s="44"/>
      <c r="S2" s="44"/>
      <c r="T2" s="44"/>
      <c r="U2" s="44"/>
      <c r="V2" s="44"/>
      <c r="W2" s="44"/>
      <c r="X2" s="44"/>
      <c r="Y2" s="44"/>
      <c r="Z2" s="44"/>
      <c r="AA2" s="44"/>
      <c r="AB2" s="44"/>
      <c r="AC2" s="44"/>
      <c r="AD2" s="44">
        <v>1</v>
      </c>
      <c r="AE2" s="44"/>
      <c r="AF2" s="17"/>
      <c r="AG2" s="17"/>
      <c r="AH2" s="17"/>
      <c r="AI2" s="18"/>
      <c r="AJ2" s="17"/>
      <c r="AK2" s="17"/>
      <c r="AL2" s="17"/>
      <c r="AM2" s="17"/>
      <c r="AN2" s="17">
        <v>1</v>
      </c>
      <c r="AO2" s="17">
        <v>1</v>
      </c>
      <c r="AP2" s="17">
        <v>1</v>
      </c>
      <c r="AQ2" s="17"/>
      <c r="AR2" s="17"/>
      <c r="AS2" s="18"/>
      <c r="AT2" s="17"/>
      <c r="AU2" s="17"/>
      <c r="AV2" s="17"/>
      <c r="AW2" s="17"/>
      <c r="AX2" s="17"/>
      <c r="AY2" s="17"/>
      <c r="AZ2" s="44" t="s">
        <v>493</v>
      </c>
      <c r="BA2" s="12"/>
      <c r="BB2" s="12"/>
      <c r="BC2" s="12"/>
      <c r="BD2" s="12"/>
      <c r="BE2" s="12"/>
      <c r="BF2" s="12"/>
      <c r="BG2" s="12"/>
      <c r="BH2" s="12"/>
      <c r="BI2" s="12"/>
      <c r="BJ2" s="12"/>
      <c r="BK2" s="12"/>
      <c r="BL2" s="12"/>
      <c r="BM2" s="12"/>
      <c r="BN2" s="12"/>
      <c r="BO2" s="12"/>
      <c r="BP2" s="12"/>
      <c r="BQ2" s="12"/>
      <c r="BR2" s="12"/>
      <c r="BS2" s="12"/>
      <c r="BT2" s="12"/>
      <c r="BU2" s="12"/>
      <c r="BV2" s="12"/>
    </row>
    <row r="3" spans="1:74">
      <c r="A3" s="44" t="s">
        <v>26</v>
      </c>
      <c r="B3" s="35" t="s">
        <v>718</v>
      </c>
      <c r="C3" s="31" t="s">
        <v>704</v>
      </c>
      <c r="D3" s="31"/>
      <c r="E3" s="29" t="s">
        <v>654</v>
      </c>
      <c r="F3" s="43" t="s">
        <v>500</v>
      </c>
      <c r="G3" s="43" t="s">
        <v>501</v>
      </c>
      <c r="H3" s="44"/>
      <c r="I3" s="44"/>
      <c r="J3" s="44">
        <v>10.95</v>
      </c>
      <c r="K3" s="44"/>
      <c r="L3" s="44">
        <v>292</v>
      </c>
      <c r="M3" s="44">
        <v>333</v>
      </c>
      <c r="N3" s="44"/>
      <c r="O3" s="44"/>
      <c r="P3" s="43">
        <v>5</v>
      </c>
      <c r="Q3" s="44"/>
      <c r="R3" s="44"/>
      <c r="S3" s="44"/>
      <c r="T3" s="44"/>
      <c r="U3" s="44"/>
      <c r="V3" s="44"/>
      <c r="W3" s="44"/>
      <c r="X3" s="44"/>
      <c r="Y3" s="44"/>
      <c r="Z3" s="44"/>
      <c r="AA3" s="44"/>
      <c r="AB3" s="44"/>
      <c r="AC3" s="44"/>
      <c r="AD3" s="44">
        <v>1</v>
      </c>
      <c r="AE3" s="44"/>
      <c r="AF3" s="17"/>
      <c r="AG3" s="17"/>
      <c r="AH3" s="17"/>
      <c r="AI3" s="18"/>
      <c r="AJ3" s="17"/>
      <c r="AK3" s="17"/>
      <c r="AL3" s="17"/>
      <c r="AM3" s="17"/>
      <c r="AN3" s="17">
        <v>1</v>
      </c>
      <c r="AO3" s="17">
        <v>1</v>
      </c>
      <c r="AP3" s="17">
        <v>1</v>
      </c>
      <c r="AQ3" s="17"/>
      <c r="AR3" s="17"/>
      <c r="AS3" s="18"/>
      <c r="AT3" s="17"/>
      <c r="AU3" s="17"/>
      <c r="AV3" s="17"/>
      <c r="AW3" s="17"/>
      <c r="AX3" s="17"/>
      <c r="AY3" s="17"/>
      <c r="AZ3" s="44"/>
      <c r="BA3" s="12"/>
      <c r="BB3" s="12"/>
      <c r="BC3" s="12"/>
      <c r="BD3" s="12"/>
      <c r="BE3" s="12"/>
      <c r="BF3" s="12"/>
      <c r="BG3" s="12"/>
      <c r="BH3" s="12"/>
      <c r="BI3" s="12"/>
      <c r="BJ3" s="12"/>
      <c r="BK3" s="12"/>
      <c r="BL3" s="12"/>
      <c r="BM3" s="12"/>
      <c r="BN3" s="12"/>
      <c r="BO3" s="12"/>
      <c r="BP3" s="12"/>
      <c r="BQ3" s="12"/>
      <c r="BR3" s="12"/>
      <c r="BS3" s="12"/>
      <c r="BT3" s="12"/>
      <c r="BU3" s="12"/>
      <c r="BV3" s="12"/>
    </row>
  </sheetData>
  <autoFilter ref="A1:CB1" xr:uid="{00000000-0009-0000-0000-000008000000}"/>
  <phoneticPr fontId="4"/>
  <conditionalFormatting sqref="L4:XFD65460 K4:K646 A4:J65460">
    <cfRule type="expression" dxfId="441" priority="26" stopIfTrue="1">
      <formula>MOD(ROW(),2) = 1</formula>
    </cfRule>
  </conditionalFormatting>
  <conditionalFormatting sqref="BA1:IU1">
    <cfRule type="expression" dxfId="440" priority="9" stopIfTrue="1">
      <formula>MOD(ROW(),2) = 1</formula>
    </cfRule>
  </conditionalFormatting>
  <conditionalFormatting sqref="A2:B2 D2:E2 H2:J2 AJ2:AR2 AT2:IU2 L2:AH2">
    <cfRule type="expression" dxfId="439" priority="8" stopIfTrue="1">
      <formula>MOD(ROW(),2) = 1</formula>
    </cfRule>
  </conditionalFormatting>
  <conditionalFormatting sqref="C2">
    <cfRule type="expression" dxfId="438" priority="7" stopIfTrue="1">
      <formula>MOD(ROW(),2) = 1</formula>
    </cfRule>
  </conditionalFormatting>
  <conditionalFormatting sqref="F2:G2">
    <cfRule type="expression" dxfId="437" priority="6" stopIfTrue="1">
      <formula>MOD(ROW(),2) = 1</formula>
    </cfRule>
  </conditionalFormatting>
  <conditionalFormatting sqref="K2">
    <cfRule type="expression" dxfId="436" priority="5" stopIfTrue="1">
      <formula>MOD(ROW(),2) = 1</formula>
    </cfRule>
  </conditionalFormatting>
  <conditionalFormatting sqref="A3:B3 D3:E3 H3:J3 AJ3:AR3 AT3:IU3 L3:AH3">
    <cfRule type="expression" dxfId="435" priority="4" stopIfTrue="1">
      <formula>MOD(ROW(),2) = 1</formula>
    </cfRule>
  </conditionalFormatting>
  <conditionalFormatting sqref="C3">
    <cfRule type="expression" dxfId="434" priority="3" stopIfTrue="1">
      <formula>MOD(ROW(),2) = 1</formula>
    </cfRule>
  </conditionalFormatting>
  <conditionalFormatting sqref="F3:G3">
    <cfRule type="expression" dxfId="433" priority="2" stopIfTrue="1">
      <formula>MOD(ROW(),2) = 1</formula>
    </cfRule>
  </conditionalFormatting>
  <conditionalFormatting sqref="K3">
    <cfRule type="expression" dxfId="432" priority="1" stopIfTrue="1">
      <formula>MOD(ROW(),2) = 1</formula>
    </cfRule>
  </conditionalFormatting>
  <pageMargins left="0.25" right="0.25" top="0.75" bottom="0.75" header="0.3" footer="0.3"/>
  <pageSetup paperSize="9" scale="13" fitToHeight="0" orientation="portrait"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Coloring">
                <anchor moveWithCells="1" sizeWithCells="1">
                  <from>
                    <xdr:col>1</xdr:col>
                    <xdr:colOff>1035050</xdr:colOff>
                    <xdr:row>0</xdr:row>
                    <xdr:rowOff>31750</xdr:rowOff>
                  </from>
                  <to>
                    <xdr:col>2</xdr:col>
                    <xdr:colOff>717550</xdr:colOff>
                    <xdr:row>0</xdr:row>
                    <xdr:rowOff>292100</xdr:rowOff>
                  </to>
                </anchor>
              </controlPr>
            </control>
          </mc:Choice>
        </mc:AlternateContent>
        <mc:AlternateContent xmlns:mc="http://schemas.openxmlformats.org/markup-compatibility/2006">
          <mc:Choice Requires="x14">
            <control shapeId="21506" r:id="rId5" name="Button 2">
              <controlPr defaultSize="0" print="0" autoFill="0" autoPict="0" macro="[0]!WRITE_CSVFile3">
                <anchor moveWithCells="1" sizeWithCells="1">
                  <from>
                    <xdr:col>1</xdr:col>
                    <xdr:colOff>76200</xdr:colOff>
                    <xdr:row>0</xdr:row>
                    <xdr:rowOff>31750</xdr:rowOff>
                  </from>
                  <to>
                    <xdr:col>1</xdr:col>
                    <xdr:colOff>1016000</xdr:colOff>
                    <xdr:row>0</xdr:row>
                    <xdr:rowOff>292100</xdr:rowOff>
                  </to>
                </anchor>
              </controlPr>
            </control>
          </mc:Choice>
        </mc:AlternateContent>
        <mc:AlternateContent xmlns:mc="http://schemas.openxmlformats.org/markup-compatibility/2006">
          <mc:Choice Requires="x14">
            <control shapeId="21507" r:id="rId6" name="Button 3">
              <controlPr defaultSize="0" print="0" autoFill="0" autoPict="0" macro="[0]!Coloring">
                <anchor moveWithCells="1" sizeWithCells="1">
                  <from>
                    <xdr:col>1</xdr:col>
                    <xdr:colOff>260350</xdr:colOff>
                    <xdr:row>0</xdr:row>
                    <xdr:rowOff>31750</xdr:rowOff>
                  </from>
                  <to>
                    <xdr:col>1</xdr:col>
                    <xdr:colOff>984250</xdr:colOff>
                    <xdr:row>0</xdr:row>
                    <xdr:rowOff>228600</xdr:rowOff>
                  </to>
                </anchor>
              </controlPr>
            </control>
          </mc:Choice>
        </mc:AlternateContent>
        <mc:AlternateContent xmlns:mc="http://schemas.openxmlformats.org/markup-compatibility/2006">
          <mc:Choice Requires="x14">
            <control shapeId="21508" r:id="rId7" name="Button 4">
              <controlPr defaultSize="0" print="0" autoFill="0" autoPict="0" macro="[0]!Coloring">
                <anchor moveWithCells="1" sizeWithCells="1">
                  <from>
                    <xdr:col>1</xdr:col>
                    <xdr:colOff>1035050</xdr:colOff>
                    <xdr:row>0</xdr:row>
                    <xdr:rowOff>31750</xdr:rowOff>
                  </from>
                  <to>
                    <xdr:col>2</xdr:col>
                    <xdr:colOff>717550</xdr:colOff>
                    <xdr:row>0</xdr:row>
                    <xdr:rowOff>292100</xdr:rowOff>
                  </to>
                </anchor>
              </controlPr>
            </control>
          </mc:Choice>
        </mc:AlternateContent>
        <mc:AlternateContent xmlns:mc="http://schemas.openxmlformats.org/markup-compatibility/2006">
          <mc:Choice Requires="x14">
            <control shapeId="21509" r:id="rId8" name="Button 5">
              <controlPr defaultSize="0" print="0" autoFill="0" autoPict="0" macro="[0]!WRITE_CSVFile3">
                <anchor moveWithCells="1" sizeWithCells="1">
                  <from>
                    <xdr:col>1</xdr:col>
                    <xdr:colOff>76200</xdr:colOff>
                    <xdr:row>0</xdr:row>
                    <xdr:rowOff>31750</xdr:rowOff>
                  </from>
                  <to>
                    <xdr:col>1</xdr:col>
                    <xdr:colOff>1016000</xdr:colOff>
                    <xdr:row>0</xdr:row>
                    <xdr:rowOff>292100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pageSetUpPr fitToPage="1"/>
  </sheetPr>
  <dimension ref="A1:AZ17"/>
  <sheetViews>
    <sheetView zoomScale="115" zoomScaleNormal="115" workbookViewId="0">
      <pane xSplit="2" ySplit="1" topLeftCell="C2" activePane="bottomRight" state="frozen"/>
      <selection pane="topRight" activeCell="C1" sqref="C1"/>
      <selection pane="bottomLeft" activeCell="A2" sqref="A2"/>
      <selection pane="bottomRight" activeCell="A6" sqref="A6"/>
    </sheetView>
  </sheetViews>
  <sheetFormatPr defaultColWidth="9.33203125" defaultRowHeight="12"/>
  <cols>
    <col min="1" max="1" width="9.33203125" style="8"/>
    <col min="2" max="2" width="23.33203125" style="8" customWidth="1"/>
    <col min="3" max="3" width="32.109375" style="8" customWidth="1"/>
    <col min="4" max="4" width="22.44140625" style="8" customWidth="1"/>
    <col min="5" max="5" width="21.6640625" style="8" customWidth="1"/>
    <col min="6" max="6" width="13" style="8" customWidth="1"/>
    <col min="7" max="7" width="9.33203125" style="8" customWidth="1"/>
    <col min="8" max="8" width="6.6640625" style="8" customWidth="1"/>
    <col min="9" max="9" width="15" style="8" customWidth="1"/>
    <col min="10" max="10" width="11.33203125" style="8" customWidth="1"/>
    <col min="11" max="14" width="9.33203125" style="8"/>
    <col min="15" max="15" width="15.33203125" style="8" customWidth="1"/>
    <col min="16" max="16" width="9.33203125" style="8"/>
    <col min="17" max="17" width="19.77734375" style="8" customWidth="1"/>
    <col min="18" max="18" width="34.77734375" style="8" customWidth="1"/>
    <col min="19" max="19" width="27.21875" style="8" customWidth="1"/>
    <col min="20" max="20" width="29.44140625" style="8" customWidth="1"/>
    <col min="21" max="21" width="25.33203125" style="8" customWidth="1"/>
    <col min="22" max="22" width="30.21875" style="8" customWidth="1"/>
    <col min="23" max="23" width="9.33203125" style="8" customWidth="1"/>
    <col min="24" max="28" width="14.88671875" style="8" customWidth="1"/>
    <col min="29" max="29" width="12.33203125" style="8" customWidth="1"/>
    <col min="30" max="30" width="11.44140625" style="8" customWidth="1"/>
    <col min="31" max="40" width="9.33203125" style="8"/>
    <col min="41" max="41" width="15.44140625" style="8" customWidth="1"/>
    <col min="42" max="42" width="9.33203125" style="8"/>
    <col min="43" max="43" width="12.44140625" style="8" customWidth="1"/>
    <col min="44" max="44" width="9.33203125" style="8"/>
    <col min="45" max="45" width="9.6640625" style="8" bestFit="1" customWidth="1"/>
    <col min="46" max="51" width="9.33203125" style="8"/>
    <col min="52" max="52" width="70.88671875" style="8" customWidth="1"/>
    <col min="53" max="16384" width="9.33203125" style="8"/>
  </cols>
  <sheetData>
    <row r="1" spans="1:52" s="129" customFormat="1" ht="63.75" customHeight="1" thickBot="1">
      <c r="A1" s="128" t="s">
        <v>337</v>
      </c>
      <c r="B1" s="128" t="s">
        <v>338</v>
      </c>
      <c r="C1" s="128" t="s">
        <v>105</v>
      </c>
      <c r="D1" s="128" t="s">
        <v>877</v>
      </c>
      <c r="E1" s="128" t="s">
        <v>352</v>
      </c>
      <c r="F1" s="128" t="s">
        <v>354</v>
      </c>
      <c r="G1" s="128" t="s">
        <v>356</v>
      </c>
      <c r="H1" s="128" t="s">
        <v>358</v>
      </c>
      <c r="I1" s="128" t="s">
        <v>6</v>
      </c>
      <c r="J1" s="128" t="s">
        <v>701</v>
      </c>
      <c r="K1" s="128" t="s">
        <v>702</v>
      </c>
      <c r="L1" s="128" t="s">
        <v>8</v>
      </c>
      <c r="M1" s="128" t="s">
        <v>9</v>
      </c>
      <c r="N1" s="128" t="s">
        <v>10</v>
      </c>
      <c r="O1" s="128" t="s">
        <v>935</v>
      </c>
      <c r="P1" s="128" t="s">
        <v>381</v>
      </c>
      <c r="Q1" s="128" t="s">
        <v>875</v>
      </c>
      <c r="R1" s="128" t="s">
        <v>879</v>
      </c>
      <c r="S1" s="128" t="s">
        <v>342</v>
      </c>
      <c r="T1" s="128" t="s">
        <v>967</v>
      </c>
      <c r="U1" s="128" t="s">
        <v>969</v>
      </c>
      <c r="V1" s="128" t="s">
        <v>984</v>
      </c>
      <c r="W1" s="128" t="s">
        <v>346</v>
      </c>
      <c r="X1" s="128" t="s">
        <v>21</v>
      </c>
      <c r="Y1" s="128" t="s">
        <v>377</v>
      </c>
      <c r="Z1" s="128" t="s">
        <v>23</v>
      </c>
      <c r="AA1" s="128" t="s">
        <v>24</v>
      </c>
      <c r="AB1" s="128" t="s">
        <v>25</v>
      </c>
      <c r="AC1" s="128" t="s">
        <v>349</v>
      </c>
      <c r="AD1" s="128" t="s">
        <v>391</v>
      </c>
      <c r="AE1" s="128" t="s">
        <v>392</v>
      </c>
      <c r="AF1" s="128" t="s">
        <v>347</v>
      </c>
      <c r="AG1" s="128" t="s">
        <v>348</v>
      </c>
      <c r="AH1" s="128" t="s">
        <v>350</v>
      </c>
      <c r="AI1" s="128" t="s">
        <v>349</v>
      </c>
      <c r="AJ1" s="128" t="s">
        <v>349</v>
      </c>
      <c r="AK1" s="128" t="s">
        <v>349</v>
      </c>
      <c r="AL1" s="128" t="s">
        <v>349</v>
      </c>
      <c r="AM1" s="128" t="s">
        <v>349</v>
      </c>
      <c r="AN1" s="128" t="s">
        <v>331</v>
      </c>
      <c r="AO1" s="128" t="s">
        <v>332</v>
      </c>
      <c r="AP1" s="128" t="s">
        <v>333</v>
      </c>
      <c r="AQ1" s="128" t="s">
        <v>389</v>
      </c>
      <c r="AR1" s="128" t="s">
        <v>233</v>
      </c>
      <c r="AS1" s="128" t="s">
        <v>774</v>
      </c>
      <c r="AT1" s="128" t="s">
        <v>775</v>
      </c>
      <c r="AU1" s="128" t="s">
        <v>994</v>
      </c>
      <c r="AV1" s="128" t="s">
        <v>155</v>
      </c>
      <c r="AW1" s="128" t="s">
        <v>156</v>
      </c>
      <c r="AX1" s="128" t="s">
        <v>157</v>
      </c>
      <c r="AY1" s="128" t="s">
        <v>158</v>
      </c>
      <c r="AZ1" s="128" t="s">
        <v>327</v>
      </c>
    </row>
    <row r="2" spans="1:52" ht="12.5" thickTop="1">
      <c r="A2" s="43" t="s">
        <v>26</v>
      </c>
      <c r="B2" s="43" t="s">
        <v>934</v>
      </c>
      <c r="C2" s="43" t="s">
        <v>872</v>
      </c>
      <c r="D2" s="43" t="s">
        <v>968</v>
      </c>
      <c r="E2" s="43" t="s">
        <v>868</v>
      </c>
      <c r="F2" s="43" t="s">
        <v>29</v>
      </c>
      <c r="G2" s="43" t="s">
        <v>887</v>
      </c>
      <c r="H2" s="43">
        <v>2</v>
      </c>
      <c r="I2" s="43" t="s">
        <v>810</v>
      </c>
      <c r="J2" s="47">
        <v>26.797289580928126</v>
      </c>
      <c r="K2" s="47"/>
      <c r="L2" s="43">
        <v>816</v>
      </c>
      <c r="M2" s="43">
        <v>612.5</v>
      </c>
      <c r="N2" s="43"/>
      <c r="O2" s="43"/>
      <c r="P2" s="43">
        <v>5</v>
      </c>
      <c r="Q2" s="43" t="s">
        <v>874</v>
      </c>
      <c r="R2" s="43" t="s">
        <v>980</v>
      </c>
      <c r="S2" s="40" t="s">
        <v>917</v>
      </c>
      <c r="T2" s="43" t="s">
        <v>1013</v>
      </c>
      <c r="U2" s="43" t="s">
        <v>968</v>
      </c>
      <c r="V2" s="43" t="s">
        <v>985</v>
      </c>
      <c r="W2" s="43"/>
      <c r="X2" s="43"/>
      <c r="Y2" s="43"/>
      <c r="Z2" s="43"/>
      <c r="AA2" s="43"/>
      <c r="AB2" s="43"/>
      <c r="AC2" s="43"/>
      <c r="AD2" s="43"/>
      <c r="AE2" s="43"/>
      <c r="AF2" s="43"/>
      <c r="AG2" s="18"/>
      <c r="AH2" s="18"/>
      <c r="AI2" s="18"/>
      <c r="AJ2" s="18"/>
      <c r="AK2" s="18"/>
      <c r="AL2" s="18"/>
      <c r="AM2" s="18"/>
      <c r="AN2" s="18">
        <v>1</v>
      </c>
      <c r="AO2" s="18">
        <v>1</v>
      </c>
      <c r="AP2" s="18">
        <v>1</v>
      </c>
      <c r="AQ2" s="18"/>
      <c r="AR2" s="18"/>
      <c r="AS2" s="18"/>
      <c r="AT2" s="18">
        <v>20296</v>
      </c>
      <c r="AU2" s="18">
        <v>3</v>
      </c>
      <c r="AV2" s="18"/>
      <c r="AW2" s="18"/>
      <c r="AX2" s="18"/>
      <c r="AY2" s="18"/>
      <c r="AZ2" s="43"/>
    </row>
    <row r="3" spans="1:52">
      <c r="A3" s="43" t="s">
        <v>26</v>
      </c>
      <c r="B3" s="43" t="s">
        <v>876</v>
      </c>
      <c r="C3" s="43" t="s">
        <v>873</v>
      </c>
      <c r="D3" s="43" t="s">
        <v>878</v>
      </c>
      <c r="E3" s="43" t="s">
        <v>868</v>
      </c>
      <c r="F3" s="43" t="s">
        <v>29</v>
      </c>
      <c r="G3" s="43" t="s">
        <v>887</v>
      </c>
      <c r="H3" s="43">
        <v>2</v>
      </c>
      <c r="I3" s="43" t="s">
        <v>810</v>
      </c>
      <c r="J3" s="47">
        <v>27.087773581318135</v>
      </c>
      <c r="K3" s="47"/>
      <c r="L3" s="43">
        <v>806.5</v>
      </c>
      <c r="M3" s="43">
        <v>617</v>
      </c>
      <c r="N3" s="43"/>
      <c r="O3" s="43"/>
      <c r="P3" s="43">
        <v>5</v>
      </c>
      <c r="Q3" s="43" t="s">
        <v>874</v>
      </c>
      <c r="R3" s="43" t="s">
        <v>980</v>
      </c>
      <c r="S3" s="168" t="s">
        <v>916</v>
      </c>
      <c r="T3" s="43" t="s">
        <v>1014</v>
      </c>
      <c r="U3" s="43" t="s">
        <v>878</v>
      </c>
      <c r="V3" s="43" t="s">
        <v>985</v>
      </c>
      <c r="W3" s="43"/>
      <c r="X3" s="43"/>
      <c r="Y3" s="43"/>
      <c r="Z3" s="43"/>
      <c r="AA3" s="43"/>
      <c r="AB3" s="43"/>
      <c r="AC3" s="43"/>
      <c r="AD3" s="43"/>
      <c r="AE3" s="43"/>
      <c r="AF3" s="43"/>
      <c r="AG3" s="18"/>
      <c r="AH3" s="18"/>
      <c r="AI3" s="18"/>
      <c r="AJ3" s="18"/>
      <c r="AK3" s="18"/>
      <c r="AL3" s="18"/>
      <c r="AM3" s="18"/>
      <c r="AN3" s="18">
        <v>1</v>
      </c>
      <c r="AO3" s="18">
        <v>1</v>
      </c>
      <c r="AP3" s="18">
        <v>1</v>
      </c>
      <c r="AQ3" s="18"/>
      <c r="AR3" s="18"/>
      <c r="AS3" s="18"/>
      <c r="AT3" s="18">
        <v>40000</v>
      </c>
      <c r="AU3" s="18">
        <v>10</v>
      </c>
      <c r="AV3" s="18"/>
      <c r="AW3" s="18"/>
      <c r="AX3" s="18"/>
      <c r="AY3" s="18"/>
      <c r="AZ3" s="43"/>
    </row>
    <row r="4" spans="1:52" s="166" customFormat="1">
      <c r="A4" s="43" t="s">
        <v>26</v>
      </c>
      <c r="B4" s="167" t="s">
        <v>929</v>
      </c>
      <c r="C4" s="40" t="s">
        <v>931</v>
      </c>
      <c r="D4" s="167" t="s">
        <v>930</v>
      </c>
      <c r="E4" s="167" t="s">
        <v>868</v>
      </c>
      <c r="F4" s="167" t="s">
        <v>29</v>
      </c>
      <c r="G4" s="167" t="s">
        <v>490</v>
      </c>
      <c r="H4" s="167">
        <v>2</v>
      </c>
      <c r="I4" s="167" t="s">
        <v>810</v>
      </c>
      <c r="J4" s="168">
        <v>19.1461535865025</v>
      </c>
      <c r="K4" s="168"/>
      <c r="L4" s="168">
        <v>818</v>
      </c>
      <c r="M4" s="168">
        <v>611</v>
      </c>
      <c r="N4" s="43"/>
      <c r="O4" s="168"/>
      <c r="P4" s="167">
        <v>5</v>
      </c>
      <c r="Q4" s="167" t="s">
        <v>874</v>
      </c>
      <c r="R4" s="43" t="s">
        <v>980</v>
      </c>
      <c r="S4" s="168" t="s">
        <v>918</v>
      </c>
      <c r="T4" s="43" t="s">
        <v>1015</v>
      </c>
      <c r="U4" s="167" t="s">
        <v>930</v>
      </c>
      <c r="V4" s="43" t="s">
        <v>985</v>
      </c>
      <c r="W4" s="168"/>
      <c r="X4" s="168"/>
      <c r="Y4" s="168"/>
      <c r="Z4" s="168"/>
      <c r="AA4" s="168"/>
      <c r="AB4" s="168"/>
      <c r="AC4" s="168"/>
      <c r="AD4" s="168"/>
      <c r="AE4" s="168"/>
      <c r="AF4" s="168"/>
      <c r="AG4" s="168"/>
      <c r="AH4" s="168"/>
      <c r="AI4" s="168"/>
      <c r="AJ4" s="168"/>
      <c r="AK4" s="168"/>
      <c r="AL4" s="168"/>
      <c r="AM4" s="168"/>
      <c r="AN4" s="168"/>
      <c r="AO4" s="168"/>
      <c r="AP4" s="168"/>
      <c r="AQ4" s="168"/>
      <c r="AR4" s="168"/>
      <c r="AS4" s="168"/>
      <c r="AT4" s="168">
        <v>20296</v>
      </c>
      <c r="AU4" s="168">
        <v>3</v>
      </c>
      <c r="AV4" s="168"/>
      <c r="AW4" s="168"/>
      <c r="AX4" s="168"/>
      <c r="AY4" s="168"/>
      <c r="AZ4" s="168"/>
    </row>
    <row r="5" spans="1:52" s="166" customFormat="1">
      <c r="A5" s="43" t="s">
        <v>26</v>
      </c>
      <c r="B5" s="168" t="s">
        <v>939</v>
      </c>
      <c r="C5" s="168" t="s">
        <v>936</v>
      </c>
      <c r="D5" s="168" t="s">
        <v>943</v>
      </c>
      <c r="E5" s="167" t="s">
        <v>868</v>
      </c>
      <c r="F5" s="167" t="s">
        <v>29</v>
      </c>
      <c r="G5" s="167" t="s">
        <v>490</v>
      </c>
      <c r="H5" s="167"/>
      <c r="I5" s="167" t="s">
        <v>810</v>
      </c>
      <c r="J5" s="168">
        <v>19.690125546533221</v>
      </c>
      <c r="K5" s="168"/>
      <c r="L5" s="168">
        <v>820</v>
      </c>
      <c r="M5" s="168">
        <v>600</v>
      </c>
      <c r="N5" s="43"/>
      <c r="O5" s="168"/>
      <c r="P5" s="167">
        <v>5</v>
      </c>
      <c r="Q5" s="167" t="s">
        <v>874</v>
      </c>
      <c r="R5" s="43" t="s">
        <v>982</v>
      </c>
      <c r="S5" s="168" t="s">
        <v>919</v>
      </c>
      <c r="T5" s="43" t="s">
        <v>1016</v>
      </c>
      <c r="U5" s="168" t="s">
        <v>970</v>
      </c>
      <c r="V5" s="43"/>
      <c r="W5" s="167"/>
      <c r="X5" s="168"/>
      <c r="Y5" s="168"/>
      <c r="Z5" s="168"/>
      <c r="AA5" s="168"/>
      <c r="AB5" s="168"/>
      <c r="AC5" s="168"/>
      <c r="AD5" s="168"/>
      <c r="AE5" s="168"/>
      <c r="AF5" s="168"/>
      <c r="AG5" s="168"/>
      <c r="AH5" s="168"/>
      <c r="AI5" s="168"/>
      <c r="AJ5" s="168"/>
      <c r="AK5" s="168"/>
      <c r="AL5" s="168"/>
      <c r="AM5" s="168"/>
      <c r="AN5" s="168"/>
      <c r="AO5" s="168"/>
      <c r="AP5" s="168"/>
      <c r="AQ5" s="168"/>
      <c r="AR5" s="168"/>
      <c r="AS5" s="168"/>
      <c r="AT5" s="168">
        <v>80000</v>
      </c>
      <c r="AU5" s="168">
        <v>1</v>
      </c>
      <c r="AV5" s="168"/>
      <c r="AW5" s="168"/>
      <c r="AX5" s="168"/>
      <c r="AY5" s="168"/>
      <c r="AZ5" s="168"/>
    </row>
    <row r="6" spans="1:52" s="166" customFormat="1">
      <c r="A6" s="43" t="s">
        <v>26</v>
      </c>
      <c r="B6" s="168" t="s">
        <v>940</v>
      </c>
      <c r="C6" s="168" t="s">
        <v>937</v>
      </c>
      <c r="D6" s="168" t="s">
        <v>944</v>
      </c>
      <c r="E6" s="167" t="s">
        <v>868</v>
      </c>
      <c r="F6" s="167" t="s">
        <v>29</v>
      </c>
      <c r="G6" s="167" t="s">
        <v>490</v>
      </c>
      <c r="H6" s="167">
        <v>2</v>
      </c>
      <c r="I6" s="167" t="s">
        <v>810</v>
      </c>
      <c r="J6" s="168">
        <v>19.21580536573601</v>
      </c>
      <c r="K6" s="168"/>
      <c r="L6" s="168">
        <v>812</v>
      </c>
      <c r="M6" s="168">
        <v>618.5</v>
      </c>
      <c r="N6" s="43"/>
      <c r="O6" s="168"/>
      <c r="P6" s="167">
        <v>5</v>
      </c>
      <c r="Q6" s="167" t="s">
        <v>874</v>
      </c>
      <c r="R6" s="43" t="s">
        <v>993</v>
      </c>
      <c r="S6" s="168" t="s">
        <v>920</v>
      </c>
      <c r="T6" s="43" t="s">
        <v>1017</v>
      </c>
      <c r="U6" s="168" t="s">
        <v>971</v>
      </c>
      <c r="V6" s="43" t="s">
        <v>987</v>
      </c>
      <c r="W6" s="167"/>
      <c r="X6" s="168"/>
      <c r="Y6" s="168"/>
      <c r="Z6" s="168"/>
      <c r="AA6" s="168"/>
      <c r="AB6" s="168"/>
      <c r="AC6" s="168"/>
      <c r="AD6" s="168"/>
      <c r="AE6" s="168"/>
      <c r="AF6" s="168"/>
      <c r="AG6" s="168"/>
      <c r="AH6" s="168"/>
      <c r="AI6" s="168"/>
      <c r="AJ6" s="168"/>
      <c r="AK6" s="168"/>
      <c r="AL6" s="168"/>
      <c r="AM6" s="168"/>
      <c r="AN6" s="168"/>
      <c r="AO6" s="168"/>
      <c r="AP6" s="168"/>
      <c r="AQ6" s="168"/>
      <c r="AR6" s="168"/>
      <c r="AS6" s="168"/>
      <c r="AT6" s="168">
        <v>80000</v>
      </c>
      <c r="AU6" s="168">
        <v>3</v>
      </c>
      <c r="AV6" s="168"/>
      <c r="AW6" s="168"/>
      <c r="AX6" s="168"/>
      <c r="AY6" s="168"/>
      <c r="AZ6" s="168"/>
    </row>
    <row r="7" spans="1:52" s="166" customFormat="1">
      <c r="A7" s="43" t="s">
        <v>26</v>
      </c>
      <c r="B7" s="168" t="s">
        <v>941</v>
      </c>
      <c r="C7" s="168" t="s">
        <v>938</v>
      </c>
      <c r="D7" s="168" t="s">
        <v>945</v>
      </c>
      <c r="E7" s="167" t="s">
        <v>868</v>
      </c>
      <c r="F7" s="167" t="s">
        <v>29</v>
      </c>
      <c r="G7" s="167" t="s">
        <v>490</v>
      </c>
      <c r="H7" s="167">
        <v>2</v>
      </c>
      <c r="I7" s="167" t="s">
        <v>810</v>
      </c>
      <c r="J7" s="168">
        <v>20.262215341780987</v>
      </c>
      <c r="K7" s="168"/>
      <c r="L7" s="168">
        <v>817.5</v>
      </c>
      <c r="M7" s="168">
        <v>623</v>
      </c>
      <c r="N7" s="43"/>
      <c r="O7" s="168"/>
      <c r="P7" s="167">
        <v>5</v>
      </c>
      <c r="Q7" s="167" t="s">
        <v>874</v>
      </c>
      <c r="R7" s="43" t="s">
        <v>989</v>
      </c>
      <c r="S7" s="168" t="s">
        <v>921</v>
      </c>
      <c r="T7" s="43" t="s">
        <v>1018</v>
      </c>
      <c r="U7" s="168" t="s">
        <v>972</v>
      </c>
      <c r="V7" s="43" t="s">
        <v>988</v>
      </c>
      <c r="W7" s="167"/>
      <c r="X7" s="168"/>
      <c r="Y7" s="168"/>
      <c r="Z7" s="168"/>
      <c r="AA7" s="168"/>
      <c r="AB7" s="168"/>
      <c r="AC7" s="168"/>
      <c r="AD7" s="168"/>
      <c r="AE7" s="168"/>
      <c r="AF7" s="168"/>
      <c r="AG7" s="168"/>
      <c r="AH7" s="168"/>
      <c r="AI7" s="168"/>
      <c r="AJ7" s="168"/>
      <c r="AK7" s="168"/>
      <c r="AL7" s="168"/>
      <c r="AM7" s="168"/>
      <c r="AN7" s="168"/>
      <c r="AO7" s="168"/>
      <c r="AP7" s="168"/>
      <c r="AQ7" s="168"/>
      <c r="AR7" s="168"/>
      <c r="AS7" s="168"/>
      <c r="AT7" s="168">
        <v>40000</v>
      </c>
      <c r="AU7" s="168">
        <v>2</v>
      </c>
      <c r="AV7" s="168"/>
      <c r="AW7" s="168"/>
      <c r="AX7" s="168"/>
      <c r="AY7" s="168"/>
      <c r="AZ7" s="168"/>
    </row>
    <row r="8" spans="1:52" s="166" customFormat="1">
      <c r="A8" s="43" t="s">
        <v>26</v>
      </c>
      <c r="B8" s="168" t="s">
        <v>942</v>
      </c>
      <c r="C8" s="168" t="s">
        <v>947</v>
      </c>
      <c r="D8" s="168" t="s">
        <v>946</v>
      </c>
      <c r="E8" s="167" t="s">
        <v>932</v>
      </c>
      <c r="F8" s="167" t="s">
        <v>29</v>
      </c>
      <c r="G8" s="167" t="s">
        <v>490</v>
      </c>
      <c r="H8" s="167"/>
      <c r="I8" s="167" t="s">
        <v>810</v>
      </c>
      <c r="J8" s="168">
        <v>19.642345407682452</v>
      </c>
      <c r="K8" s="168"/>
      <c r="L8" s="168">
        <v>828.5</v>
      </c>
      <c r="M8" s="168">
        <v>618.5</v>
      </c>
      <c r="N8" s="43"/>
      <c r="O8" s="168"/>
      <c r="P8" s="167">
        <v>5</v>
      </c>
      <c r="Q8" s="167" t="s">
        <v>874</v>
      </c>
      <c r="R8" s="43" t="s">
        <v>982</v>
      </c>
      <c r="S8" s="168" t="s">
        <v>922</v>
      </c>
      <c r="T8" s="43" t="s">
        <v>1019</v>
      </c>
      <c r="U8" s="168" t="s">
        <v>973</v>
      </c>
      <c r="V8" s="43"/>
      <c r="W8" s="167"/>
      <c r="X8" s="168"/>
      <c r="Y8" s="168"/>
      <c r="Z8" s="168"/>
      <c r="AA8" s="168"/>
      <c r="AB8" s="168"/>
      <c r="AC8" s="168"/>
      <c r="AD8" s="168"/>
      <c r="AE8" s="168"/>
      <c r="AF8" s="168"/>
      <c r="AG8" s="168"/>
      <c r="AH8" s="168"/>
      <c r="AI8" s="168"/>
      <c r="AJ8" s="168"/>
      <c r="AK8" s="168"/>
      <c r="AL8" s="168"/>
      <c r="AM8" s="168"/>
      <c r="AN8" s="168"/>
      <c r="AO8" s="168"/>
      <c r="AP8" s="168"/>
      <c r="AQ8" s="168"/>
      <c r="AR8" s="168"/>
      <c r="AS8" s="168"/>
      <c r="AT8" s="168">
        <v>80000</v>
      </c>
      <c r="AU8" s="168">
        <v>1</v>
      </c>
      <c r="AV8" s="168"/>
      <c r="AW8" s="168"/>
      <c r="AX8" s="168"/>
      <c r="AY8" s="168"/>
      <c r="AZ8" s="168"/>
    </row>
    <row r="9" spans="1:52" s="166" customFormat="1">
      <c r="A9" s="43" t="s">
        <v>26</v>
      </c>
      <c r="B9" s="168" t="s">
        <v>954</v>
      </c>
      <c r="C9" s="168" t="s">
        <v>948</v>
      </c>
      <c r="D9" s="168" t="s">
        <v>960</v>
      </c>
      <c r="E9" s="167" t="s">
        <v>923</v>
      </c>
      <c r="F9" s="167" t="s">
        <v>29</v>
      </c>
      <c r="G9" s="167" t="s">
        <v>490</v>
      </c>
      <c r="H9" s="167"/>
      <c r="I9" s="167" t="s">
        <v>810</v>
      </c>
      <c r="J9" s="168">
        <v>19.555905619816976</v>
      </c>
      <c r="K9" s="168"/>
      <c r="L9" s="168">
        <v>814</v>
      </c>
      <c r="M9" s="168">
        <v>594</v>
      </c>
      <c r="N9" s="43"/>
      <c r="O9" s="168"/>
      <c r="P9" s="167">
        <v>5</v>
      </c>
      <c r="Q9" s="167" t="s">
        <v>966</v>
      </c>
      <c r="R9" s="43" t="s">
        <v>983</v>
      </c>
      <c r="S9" s="168" t="s">
        <v>924</v>
      </c>
      <c r="T9" s="43" t="s">
        <v>1020</v>
      </c>
      <c r="U9" s="168" t="s">
        <v>974</v>
      </c>
      <c r="V9" s="43"/>
      <c r="W9" s="167"/>
      <c r="X9" s="168"/>
      <c r="Y9" s="168"/>
      <c r="Z9" s="168"/>
      <c r="AA9" s="168"/>
      <c r="AB9" s="168"/>
      <c r="AC9" s="168"/>
      <c r="AD9" s="168"/>
      <c r="AE9" s="168"/>
      <c r="AF9" s="168"/>
      <c r="AG9" s="168"/>
      <c r="AH9" s="168"/>
      <c r="AI9" s="168"/>
      <c r="AJ9" s="168"/>
      <c r="AK9" s="168"/>
      <c r="AL9" s="168"/>
      <c r="AM9" s="168"/>
      <c r="AN9" s="168"/>
      <c r="AO9" s="168"/>
      <c r="AP9" s="168"/>
      <c r="AQ9" s="168"/>
      <c r="AR9" s="168"/>
      <c r="AS9" s="168"/>
      <c r="AT9" s="168">
        <v>80000</v>
      </c>
      <c r="AU9" s="168">
        <v>3</v>
      </c>
      <c r="AV9" s="168"/>
      <c r="AW9" s="168"/>
      <c r="AX9" s="168"/>
      <c r="AY9" s="168"/>
      <c r="AZ9" s="168"/>
    </row>
    <row r="10" spans="1:52" s="166" customFormat="1">
      <c r="A10" s="43" t="s">
        <v>26</v>
      </c>
      <c r="B10" s="168" t="s">
        <v>955</v>
      </c>
      <c r="C10" s="168" t="s">
        <v>949</v>
      </c>
      <c r="D10" s="168" t="s">
        <v>961</v>
      </c>
      <c r="E10" s="167" t="s">
        <v>923</v>
      </c>
      <c r="F10" s="167" t="s">
        <v>29</v>
      </c>
      <c r="G10" s="167" t="s">
        <v>490</v>
      </c>
      <c r="H10" s="167"/>
      <c r="I10" s="167" t="s">
        <v>810</v>
      </c>
      <c r="J10" s="168">
        <v>19.093803596359766</v>
      </c>
      <c r="K10" s="168"/>
      <c r="L10" s="168">
        <v>824</v>
      </c>
      <c r="M10" s="168">
        <v>605</v>
      </c>
      <c r="N10" s="43"/>
      <c r="O10" s="168"/>
      <c r="P10" s="167">
        <v>5</v>
      </c>
      <c r="Q10" s="167" t="s">
        <v>966</v>
      </c>
      <c r="R10" s="43" t="s">
        <v>983</v>
      </c>
      <c r="S10" s="168" t="s">
        <v>925</v>
      </c>
      <c r="T10" s="43" t="s">
        <v>1021</v>
      </c>
      <c r="U10" s="168" t="s">
        <v>975</v>
      </c>
      <c r="V10" s="43"/>
      <c r="W10" s="167"/>
      <c r="X10" s="168"/>
      <c r="Y10" s="168"/>
      <c r="Z10" s="168"/>
      <c r="AA10" s="168"/>
      <c r="AB10" s="168"/>
      <c r="AC10" s="168"/>
      <c r="AD10" s="168"/>
      <c r="AE10" s="168"/>
      <c r="AF10" s="168"/>
      <c r="AG10" s="168"/>
      <c r="AH10" s="168"/>
      <c r="AI10" s="168"/>
      <c r="AJ10" s="168"/>
      <c r="AK10" s="168"/>
      <c r="AL10" s="168"/>
      <c r="AM10" s="168"/>
      <c r="AN10" s="168"/>
      <c r="AO10" s="168"/>
      <c r="AP10" s="168"/>
      <c r="AQ10" s="168"/>
      <c r="AR10" s="168"/>
      <c r="AS10" s="168"/>
      <c r="AT10" s="168">
        <v>80000</v>
      </c>
      <c r="AU10" s="168">
        <v>2</v>
      </c>
      <c r="AV10" s="168"/>
      <c r="AW10" s="168"/>
      <c r="AX10" s="168"/>
      <c r="AY10" s="168"/>
      <c r="AZ10" s="168"/>
    </row>
    <row r="11" spans="1:52" s="166" customFormat="1">
      <c r="A11" s="43" t="s">
        <v>26</v>
      </c>
      <c r="B11" s="168" t="s">
        <v>956</v>
      </c>
      <c r="C11" s="168" t="s">
        <v>950</v>
      </c>
      <c r="D11" s="168" t="s">
        <v>962</v>
      </c>
      <c r="E11" s="167" t="s">
        <v>923</v>
      </c>
      <c r="F11" s="167" t="s">
        <v>29</v>
      </c>
      <c r="G11" s="167" t="s">
        <v>490</v>
      </c>
      <c r="H11" s="167"/>
      <c r="I11" s="167" t="s">
        <v>810</v>
      </c>
      <c r="J11" s="168">
        <v>19.508443949728207</v>
      </c>
      <c r="K11" s="168"/>
      <c r="L11" s="168">
        <v>814</v>
      </c>
      <c r="M11" s="168">
        <v>608.5</v>
      </c>
      <c r="N11" s="43"/>
      <c r="O11" s="168"/>
      <c r="P11" s="167">
        <v>5</v>
      </c>
      <c r="Q11" s="167" t="s">
        <v>966</v>
      </c>
      <c r="R11" s="43" t="s">
        <v>983</v>
      </c>
      <c r="S11" s="168" t="s">
        <v>926</v>
      </c>
      <c r="T11" s="43" t="s">
        <v>1022</v>
      </c>
      <c r="U11" s="168" t="s">
        <v>976</v>
      </c>
      <c r="V11" s="43"/>
      <c r="W11" s="167"/>
      <c r="X11" s="168"/>
      <c r="Y11" s="168"/>
      <c r="Z11" s="168"/>
      <c r="AA11" s="168"/>
      <c r="AB11" s="168"/>
      <c r="AC11" s="168"/>
      <c r="AD11" s="168"/>
      <c r="AE11" s="168"/>
      <c r="AF11" s="168"/>
      <c r="AG11" s="168"/>
      <c r="AH11" s="168"/>
      <c r="AI11" s="168"/>
      <c r="AJ11" s="168"/>
      <c r="AK11" s="168"/>
      <c r="AL11" s="168"/>
      <c r="AM11" s="168"/>
      <c r="AN11" s="168"/>
      <c r="AO11" s="168"/>
      <c r="AP11" s="168"/>
      <c r="AQ11" s="168"/>
      <c r="AR11" s="168"/>
      <c r="AS11" s="168"/>
      <c r="AT11" s="168">
        <v>80000</v>
      </c>
      <c r="AU11" s="168">
        <v>1</v>
      </c>
      <c r="AV11" s="168"/>
      <c r="AW11" s="168"/>
      <c r="AX11" s="168"/>
      <c r="AY11" s="168"/>
      <c r="AZ11" s="168"/>
    </row>
    <row r="12" spans="1:52" s="166" customFormat="1">
      <c r="A12" s="43" t="s">
        <v>26</v>
      </c>
      <c r="B12" s="168" t="s">
        <v>957</v>
      </c>
      <c r="C12" s="168" t="s">
        <v>951</v>
      </c>
      <c r="D12" s="168" t="s">
        <v>963</v>
      </c>
      <c r="E12" s="167" t="s">
        <v>923</v>
      </c>
      <c r="F12" s="167" t="s">
        <v>29</v>
      </c>
      <c r="G12" s="167" t="s">
        <v>490</v>
      </c>
      <c r="H12" s="167">
        <v>2</v>
      </c>
      <c r="I12" s="167" t="s">
        <v>810</v>
      </c>
      <c r="J12" s="168">
        <v>19.188141607910946</v>
      </c>
      <c r="K12" s="168"/>
      <c r="L12" s="168">
        <v>816.5</v>
      </c>
      <c r="M12" s="168">
        <v>607.5</v>
      </c>
      <c r="N12" s="43"/>
      <c r="O12" s="168"/>
      <c r="P12" s="167">
        <v>5</v>
      </c>
      <c r="Q12" s="167" t="s">
        <v>966</v>
      </c>
      <c r="R12" s="43" t="s">
        <v>981</v>
      </c>
      <c r="S12" s="168" t="s">
        <v>927</v>
      </c>
      <c r="T12" s="43" t="s">
        <v>1023</v>
      </c>
      <c r="U12" s="168" t="s">
        <v>977</v>
      </c>
      <c r="V12" s="43" t="s">
        <v>986</v>
      </c>
      <c r="W12" s="167"/>
      <c r="X12" s="168"/>
      <c r="Y12" s="168"/>
      <c r="Z12" s="168"/>
      <c r="AA12" s="168"/>
      <c r="AB12" s="168"/>
      <c r="AC12" s="168"/>
      <c r="AD12" s="168"/>
      <c r="AE12" s="168"/>
      <c r="AF12" s="168"/>
      <c r="AG12" s="168"/>
      <c r="AH12" s="168"/>
      <c r="AI12" s="168"/>
      <c r="AJ12" s="168"/>
      <c r="AK12" s="168"/>
      <c r="AL12" s="168"/>
      <c r="AM12" s="168"/>
      <c r="AN12" s="168"/>
      <c r="AO12" s="168"/>
      <c r="AP12" s="168"/>
      <c r="AQ12" s="168"/>
      <c r="AR12" s="168"/>
      <c r="AS12" s="168"/>
      <c r="AT12" s="168">
        <v>80000</v>
      </c>
      <c r="AU12" s="168">
        <v>1</v>
      </c>
      <c r="AV12" s="168"/>
      <c r="AW12" s="168"/>
      <c r="AX12" s="168"/>
      <c r="AY12" s="168"/>
      <c r="AZ12" s="168"/>
    </row>
    <row r="13" spans="1:52" s="166" customFormat="1">
      <c r="A13" s="43" t="s">
        <v>26</v>
      </c>
      <c r="B13" s="168" t="s">
        <v>958</v>
      </c>
      <c r="C13" s="168" t="s">
        <v>952</v>
      </c>
      <c r="D13" s="168" t="s">
        <v>964</v>
      </c>
      <c r="E13" s="167" t="s">
        <v>923</v>
      </c>
      <c r="F13" s="167" t="s">
        <v>29</v>
      </c>
      <c r="G13" s="167" t="s">
        <v>490</v>
      </c>
      <c r="H13" s="167"/>
      <c r="I13" s="167" t="s">
        <v>810</v>
      </c>
      <c r="J13" s="168">
        <v>19.178894165766255</v>
      </c>
      <c r="K13" s="168"/>
      <c r="L13" s="168">
        <v>835</v>
      </c>
      <c r="M13" s="168">
        <v>601.5</v>
      </c>
      <c r="N13" s="43"/>
      <c r="O13" s="168"/>
      <c r="P13" s="167">
        <v>5</v>
      </c>
      <c r="Q13" s="167" t="s">
        <v>966</v>
      </c>
      <c r="R13" s="43" t="s">
        <v>983</v>
      </c>
      <c r="S13" s="168" t="s">
        <v>928</v>
      </c>
      <c r="T13" s="43" t="s">
        <v>1024</v>
      </c>
      <c r="U13" s="168" t="s">
        <v>978</v>
      </c>
      <c r="V13" s="43"/>
      <c r="W13" s="167"/>
      <c r="X13" s="168"/>
      <c r="Y13" s="168"/>
      <c r="Z13" s="168"/>
      <c r="AA13" s="168"/>
      <c r="AB13" s="168"/>
      <c r="AC13" s="168"/>
      <c r="AD13" s="168"/>
      <c r="AE13" s="168"/>
      <c r="AF13" s="168"/>
      <c r="AG13" s="168"/>
      <c r="AH13" s="168"/>
      <c r="AI13" s="168"/>
      <c r="AJ13" s="168"/>
      <c r="AK13" s="168"/>
      <c r="AL13" s="168"/>
      <c r="AM13" s="168"/>
      <c r="AN13" s="168"/>
      <c r="AO13" s="168"/>
      <c r="AP13" s="168"/>
      <c r="AQ13" s="168"/>
      <c r="AR13" s="168"/>
      <c r="AS13" s="168"/>
      <c r="AT13" s="168">
        <v>80000</v>
      </c>
      <c r="AU13" s="168">
        <v>2</v>
      </c>
      <c r="AV13" s="168"/>
      <c r="AW13" s="168"/>
      <c r="AX13" s="168"/>
      <c r="AY13" s="168"/>
      <c r="AZ13" s="168"/>
    </row>
    <row r="14" spans="1:52" s="166" customFormat="1">
      <c r="A14" s="43" t="s">
        <v>26</v>
      </c>
      <c r="B14" s="168" t="s">
        <v>959</v>
      </c>
      <c r="C14" s="168" t="s">
        <v>953</v>
      </c>
      <c r="D14" s="168" t="s">
        <v>965</v>
      </c>
      <c r="E14" s="167" t="s">
        <v>923</v>
      </c>
      <c r="F14" s="167" t="s">
        <v>29</v>
      </c>
      <c r="G14" s="167" t="s">
        <v>490</v>
      </c>
      <c r="H14" s="167">
        <v>2</v>
      </c>
      <c r="I14" s="167" t="s">
        <v>810</v>
      </c>
      <c r="J14" s="168">
        <v>20.181489127167069</v>
      </c>
      <c r="K14" s="168"/>
      <c r="L14" s="168">
        <v>822.5</v>
      </c>
      <c r="M14" s="168">
        <v>613.5</v>
      </c>
      <c r="N14" s="43"/>
      <c r="O14" s="168"/>
      <c r="P14" s="167">
        <v>5</v>
      </c>
      <c r="Q14" s="167" t="s">
        <v>966</v>
      </c>
      <c r="R14" s="43" t="s">
        <v>981</v>
      </c>
      <c r="S14" s="168" t="s">
        <v>933</v>
      </c>
      <c r="T14" s="43" t="s">
        <v>1025</v>
      </c>
      <c r="U14" s="168" t="s">
        <v>979</v>
      </c>
      <c r="V14" s="43" t="s">
        <v>986</v>
      </c>
      <c r="W14" s="167"/>
      <c r="X14" s="168"/>
      <c r="Y14" s="168"/>
      <c r="Z14" s="168"/>
      <c r="AA14" s="168"/>
      <c r="AB14" s="168"/>
      <c r="AC14" s="168"/>
      <c r="AD14" s="168"/>
      <c r="AE14" s="168"/>
      <c r="AF14" s="168"/>
      <c r="AG14" s="168"/>
      <c r="AH14" s="168"/>
      <c r="AI14" s="168"/>
      <c r="AJ14" s="168"/>
      <c r="AK14" s="168"/>
      <c r="AL14" s="168"/>
      <c r="AM14" s="168"/>
      <c r="AN14" s="168"/>
      <c r="AO14" s="168"/>
      <c r="AP14" s="168"/>
      <c r="AQ14" s="168"/>
      <c r="AR14" s="168"/>
      <c r="AS14" s="168"/>
      <c r="AT14" s="168">
        <v>80000</v>
      </c>
      <c r="AU14" s="168">
        <v>4</v>
      </c>
      <c r="AV14" s="168"/>
      <c r="AW14" s="168"/>
      <c r="AX14" s="168"/>
      <c r="AY14" s="168"/>
      <c r="AZ14" s="168"/>
    </row>
    <row r="15" spans="1:52">
      <c r="S15" s="168"/>
    </row>
    <row r="16" spans="1:52">
      <c r="A16" s="173"/>
      <c r="B16" s="31"/>
      <c r="C16" s="31"/>
      <c r="D16" s="29"/>
      <c r="E16" s="29"/>
      <c r="F16" s="173"/>
      <c r="G16" s="173"/>
      <c r="H16" s="173"/>
      <c r="I16" s="173"/>
      <c r="J16" s="173"/>
      <c r="K16" s="173"/>
      <c r="L16" s="173"/>
      <c r="M16" s="173"/>
      <c r="N16" s="173"/>
      <c r="O16" s="173"/>
      <c r="P16" s="173"/>
      <c r="Q16" s="173"/>
      <c r="R16" s="173"/>
      <c r="S16" s="173"/>
      <c r="T16" s="173"/>
      <c r="U16" s="170"/>
      <c r="V16" s="173"/>
      <c r="W16" s="173"/>
      <c r="X16" s="173"/>
      <c r="Y16" s="173"/>
      <c r="Z16" s="173"/>
      <c r="AA16" s="173"/>
      <c r="AB16" s="173"/>
      <c r="AC16" s="173"/>
      <c r="AD16" s="173"/>
      <c r="AE16" s="173"/>
      <c r="AF16" s="18"/>
      <c r="AG16" s="18"/>
      <c r="AH16" s="18"/>
      <c r="AI16" s="18"/>
      <c r="AJ16" s="18"/>
      <c r="AK16" s="18"/>
      <c r="AL16" s="173"/>
      <c r="AM16" s="173"/>
      <c r="AN16" s="18"/>
      <c r="AO16" s="18"/>
      <c r="AP16" s="18"/>
      <c r="AQ16" s="18"/>
      <c r="AR16" s="18"/>
      <c r="AS16" s="18"/>
      <c r="AT16" s="18"/>
      <c r="AU16" s="18"/>
      <c r="AV16" s="18"/>
      <c r="AW16" s="18"/>
      <c r="AX16" s="18"/>
      <c r="AY16" s="18"/>
      <c r="AZ16" s="173"/>
    </row>
    <row r="17" spans="19:19">
      <c r="S17" s="168"/>
    </row>
  </sheetData>
  <phoneticPr fontId="4"/>
  <conditionalFormatting sqref="A76:AZ65456 BA4:XFD15 A2:B3 AR2:IU3 F2 D2:E3 G2:P3 A4:A14 W2:AP3 N4:N14 BA17:XFD65456">
    <cfRule type="expression" dxfId="431" priority="169" stopIfTrue="1">
      <formula>MOD(ROW(),2) = 1</formula>
    </cfRule>
  </conditionalFormatting>
  <conditionalFormatting sqref="F3">
    <cfRule type="expression" dxfId="430" priority="165" stopIfTrue="1">
      <formula>MOD(ROW(),2) = 1</formula>
    </cfRule>
  </conditionalFormatting>
  <conditionalFormatting sqref="BA1:IU1">
    <cfRule type="expression" dxfId="429" priority="157" stopIfTrue="1">
      <formula>MOD(ROW(),2) = 1</formula>
    </cfRule>
  </conditionalFormatting>
  <conditionalFormatting sqref="C2:C3">
    <cfRule type="expression" dxfId="428" priority="116" stopIfTrue="1">
      <formula>MOD(ROW(),2) = 1</formula>
    </cfRule>
  </conditionalFormatting>
  <conditionalFormatting sqref="Q2:Q3">
    <cfRule type="expression" dxfId="427" priority="113" stopIfTrue="1">
      <formula>MOD(ROW(),2) = 1</formula>
    </cfRule>
  </conditionalFormatting>
  <conditionalFormatting sqref="E4">
    <cfRule type="expression" dxfId="426" priority="102" stopIfTrue="1">
      <formula>MOD(ROW(),2) = 1</formula>
    </cfRule>
  </conditionalFormatting>
  <conditionalFormatting sqref="E5">
    <cfRule type="expression" dxfId="425" priority="101" stopIfTrue="1">
      <formula>MOD(ROW(),2) = 1</formula>
    </cfRule>
  </conditionalFormatting>
  <conditionalFormatting sqref="E6">
    <cfRule type="expression" dxfId="424" priority="100" stopIfTrue="1">
      <formula>MOD(ROW(),2) = 1</formula>
    </cfRule>
  </conditionalFormatting>
  <conditionalFormatting sqref="E7">
    <cfRule type="expression" dxfId="423" priority="99" stopIfTrue="1">
      <formula>MOD(ROW(),2) = 1</formula>
    </cfRule>
  </conditionalFormatting>
  <conditionalFormatting sqref="E8">
    <cfRule type="expression" dxfId="422" priority="98" stopIfTrue="1">
      <formula>MOD(ROW(),2) = 1</formula>
    </cfRule>
  </conditionalFormatting>
  <conditionalFormatting sqref="E9">
    <cfRule type="expression" dxfId="421" priority="97" stopIfTrue="1">
      <formula>MOD(ROW(),2) = 1</formula>
    </cfRule>
  </conditionalFormatting>
  <conditionalFormatting sqref="E10">
    <cfRule type="expression" dxfId="420" priority="96" stopIfTrue="1">
      <formula>MOD(ROW(),2) = 1</formula>
    </cfRule>
  </conditionalFormatting>
  <conditionalFormatting sqref="E11">
    <cfRule type="expression" dxfId="419" priority="95" stopIfTrue="1">
      <formula>MOD(ROW(),2) = 1</formula>
    </cfRule>
  </conditionalFormatting>
  <conditionalFormatting sqref="E12">
    <cfRule type="expression" dxfId="418" priority="94" stopIfTrue="1">
      <formula>MOD(ROW(),2) = 1</formula>
    </cfRule>
  </conditionalFormatting>
  <conditionalFormatting sqref="E13">
    <cfRule type="expression" dxfId="417" priority="93" stopIfTrue="1">
      <formula>MOD(ROW(),2) = 1</formula>
    </cfRule>
  </conditionalFormatting>
  <conditionalFormatting sqref="E14">
    <cfRule type="expression" dxfId="416" priority="92" stopIfTrue="1">
      <formula>MOD(ROW(),2) = 1</formula>
    </cfRule>
  </conditionalFormatting>
  <conditionalFormatting sqref="B4">
    <cfRule type="expression" dxfId="415" priority="91" stopIfTrue="1">
      <formula>MOD(ROW(),2) = 1</formula>
    </cfRule>
  </conditionalFormatting>
  <conditionalFormatting sqref="D4">
    <cfRule type="expression" dxfId="414" priority="90" stopIfTrue="1">
      <formula>MOD(ROW(),2) = 1</formula>
    </cfRule>
  </conditionalFormatting>
  <conditionalFormatting sqref="G4:I4">
    <cfRule type="expression" dxfId="413" priority="89" stopIfTrue="1">
      <formula>MOD(ROW(),2) = 1</formula>
    </cfRule>
  </conditionalFormatting>
  <conditionalFormatting sqref="F4">
    <cfRule type="expression" dxfId="412" priority="88" stopIfTrue="1">
      <formula>MOD(ROW(),2) = 1</formula>
    </cfRule>
  </conditionalFormatting>
  <conditionalFormatting sqref="G5:I5">
    <cfRule type="expression" dxfId="411" priority="87" stopIfTrue="1">
      <formula>MOD(ROW(),2) = 1</formula>
    </cfRule>
  </conditionalFormatting>
  <conditionalFormatting sqref="F5">
    <cfRule type="expression" dxfId="410" priority="86" stopIfTrue="1">
      <formula>MOD(ROW(),2) = 1</formula>
    </cfRule>
  </conditionalFormatting>
  <conditionalFormatting sqref="G6:I6">
    <cfRule type="expression" dxfId="409" priority="85" stopIfTrue="1">
      <formula>MOD(ROW(),2) = 1</formula>
    </cfRule>
  </conditionalFormatting>
  <conditionalFormatting sqref="F6">
    <cfRule type="expression" dxfId="408" priority="84" stopIfTrue="1">
      <formula>MOD(ROW(),2) = 1</formula>
    </cfRule>
  </conditionalFormatting>
  <conditionalFormatting sqref="G7:I7">
    <cfRule type="expression" dxfId="407" priority="83" stopIfTrue="1">
      <formula>MOD(ROW(),2) = 1</formula>
    </cfRule>
  </conditionalFormatting>
  <conditionalFormatting sqref="F7">
    <cfRule type="expression" dxfId="406" priority="82" stopIfTrue="1">
      <formula>MOD(ROW(),2) = 1</formula>
    </cfRule>
  </conditionalFormatting>
  <conditionalFormatting sqref="G8:I8">
    <cfRule type="expression" dxfId="405" priority="81" stopIfTrue="1">
      <formula>MOD(ROW(),2) = 1</formula>
    </cfRule>
  </conditionalFormatting>
  <conditionalFormatting sqref="F8">
    <cfRule type="expression" dxfId="404" priority="80" stopIfTrue="1">
      <formula>MOD(ROW(),2) = 1</formula>
    </cfRule>
  </conditionalFormatting>
  <conditionalFormatting sqref="G9:I9">
    <cfRule type="expression" dxfId="403" priority="79" stopIfTrue="1">
      <formula>MOD(ROW(),2) = 1</formula>
    </cfRule>
  </conditionalFormatting>
  <conditionalFormatting sqref="F9">
    <cfRule type="expression" dxfId="402" priority="78" stopIfTrue="1">
      <formula>MOD(ROW(),2) = 1</formula>
    </cfRule>
  </conditionalFormatting>
  <conditionalFormatting sqref="G10:I10">
    <cfRule type="expression" dxfId="401" priority="77" stopIfTrue="1">
      <formula>MOD(ROW(),2) = 1</formula>
    </cfRule>
  </conditionalFormatting>
  <conditionalFormatting sqref="F10">
    <cfRule type="expression" dxfId="400" priority="76" stopIfTrue="1">
      <formula>MOD(ROW(),2) = 1</formula>
    </cfRule>
  </conditionalFormatting>
  <conditionalFormatting sqref="G11:I11">
    <cfRule type="expression" dxfId="399" priority="75" stopIfTrue="1">
      <formula>MOD(ROW(),2) = 1</formula>
    </cfRule>
  </conditionalFormatting>
  <conditionalFormatting sqref="F11">
    <cfRule type="expression" dxfId="398" priority="74" stopIfTrue="1">
      <formula>MOD(ROW(),2) = 1</formula>
    </cfRule>
  </conditionalFormatting>
  <conditionalFormatting sqref="G12:I12">
    <cfRule type="expression" dxfId="397" priority="73" stopIfTrue="1">
      <formula>MOD(ROW(),2) = 1</formula>
    </cfRule>
  </conditionalFormatting>
  <conditionalFormatting sqref="F12">
    <cfRule type="expression" dxfId="396" priority="72" stopIfTrue="1">
      <formula>MOD(ROW(),2) = 1</formula>
    </cfRule>
  </conditionalFormatting>
  <conditionalFormatting sqref="G13:I13">
    <cfRule type="expression" dxfId="395" priority="71" stopIfTrue="1">
      <formula>MOD(ROW(),2) = 1</formula>
    </cfRule>
  </conditionalFormatting>
  <conditionalFormatting sqref="F13">
    <cfRule type="expression" dxfId="394" priority="70" stopIfTrue="1">
      <formula>MOD(ROW(),2) = 1</formula>
    </cfRule>
  </conditionalFormatting>
  <conditionalFormatting sqref="G14:I14">
    <cfRule type="expression" dxfId="393" priority="69" stopIfTrue="1">
      <formula>MOD(ROW(),2) = 1</formula>
    </cfRule>
  </conditionalFormatting>
  <conditionalFormatting sqref="F14">
    <cfRule type="expression" dxfId="392" priority="68" stopIfTrue="1">
      <formula>MOD(ROW(),2) = 1</formula>
    </cfRule>
  </conditionalFormatting>
  <conditionalFormatting sqref="P4">
    <cfRule type="expression" dxfId="391" priority="67" stopIfTrue="1">
      <formula>MOD(ROW(),2) = 1</formula>
    </cfRule>
  </conditionalFormatting>
  <conditionalFormatting sqref="Q4">
    <cfRule type="expression" dxfId="390" priority="66" stopIfTrue="1">
      <formula>MOD(ROW(),2) = 1</formula>
    </cfRule>
  </conditionalFormatting>
  <conditionalFormatting sqref="P5">
    <cfRule type="expression" dxfId="389" priority="65" stopIfTrue="1">
      <formula>MOD(ROW(),2) = 1</formula>
    </cfRule>
  </conditionalFormatting>
  <conditionalFormatting sqref="Q5">
    <cfRule type="expression" dxfId="388" priority="64" stopIfTrue="1">
      <formula>MOD(ROW(),2) = 1</formula>
    </cfRule>
  </conditionalFormatting>
  <conditionalFormatting sqref="P6">
    <cfRule type="expression" dxfId="387" priority="63" stopIfTrue="1">
      <formula>MOD(ROW(),2) = 1</formula>
    </cfRule>
  </conditionalFormatting>
  <conditionalFormatting sqref="Q6">
    <cfRule type="expression" dxfId="386" priority="62" stopIfTrue="1">
      <formula>MOD(ROW(),2) = 1</formula>
    </cfRule>
  </conditionalFormatting>
  <conditionalFormatting sqref="P7">
    <cfRule type="expression" dxfId="385" priority="61" stopIfTrue="1">
      <formula>MOD(ROW(),2) = 1</formula>
    </cfRule>
  </conditionalFormatting>
  <conditionalFormatting sqref="Q7">
    <cfRule type="expression" dxfId="384" priority="60" stopIfTrue="1">
      <formula>MOD(ROW(),2) = 1</formula>
    </cfRule>
  </conditionalFormatting>
  <conditionalFormatting sqref="P8">
    <cfRule type="expression" dxfId="383" priority="59" stopIfTrue="1">
      <formula>MOD(ROW(),2) = 1</formula>
    </cfRule>
  </conditionalFormatting>
  <conditionalFormatting sqref="Q8">
    <cfRule type="expression" dxfId="382" priority="58" stopIfTrue="1">
      <formula>MOD(ROW(),2) = 1</formula>
    </cfRule>
  </conditionalFormatting>
  <conditionalFormatting sqref="P9">
    <cfRule type="expression" dxfId="381" priority="57" stopIfTrue="1">
      <formula>MOD(ROW(),2) = 1</formula>
    </cfRule>
  </conditionalFormatting>
  <conditionalFormatting sqref="Q9">
    <cfRule type="expression" dxfId="380" priority="56" stopIfTrue="1">
      <formula>MOD(ROW(),2) = 1</formula>
    </cfRule>
  </conditionalFormatting>
  <conditionalFormatting sqref="P10">
    <cfRule type="expression" dxfId="379" priority="55" stopIfTrue="1">
      <formula>MOD(ROW(),2) = 1</formula>
    </cfRule>
  </conditionalFormatting>
  <conditionalFormatting sqref="Q10">
    <cfRule type="expression" dxfId="378" priority="54" stopIfTrue="1">
      <formula>MOD(ROW(),2) = 1</formula>
    </cfRule>
  </conditionalFormatting>
  <conditionalFormatting sqref="P11">
    <cfRule type="expression" dxfId="377" priority="53" stopIfTrue="1">
      <formula>MOD(ROW(),2) = 1</formula>
    </cfRule>
  </conditionalFormatting>
  <conditionalFormatting sqref="P12">
    <cfRule type="expression" dxfId="376" priority="51" stopIfTrue="1">
      <formula>MOD(ROW(),2) = 1</formula>
    </cfRule>
  </conditionalFormatting>
  <conditionalFormatting sqref="P13">
    <cfRule type="expression" dxfId="375" priority="49" stopIfTrue="1">
      <formula>MOD(ROW(),2) = 1</formula>
    </cfRule>
  </conditionalFormatting>
  <conditionalFormatting sqref="P14">
    <cfRule type="expression" dxfId="374" priority="47" stopIfTrue="1">
      <formula>MOD(ROW(),2) = 1</formula>
    </cfRule>
  </conditionalFormatting>
  <conditionalFormatting sqref="S2">
    <cfRule type="expression" dxfId="373" priority="45" stopIfTrue="1">
      <formula>MOD(ROW(),2) = 1</formula>
    </cfRule>
  </conditionalFormatting>
  <conditionalFormatting sqref="S5">
    <cfRule type="expression" dxfId="372" priority="44" stopIfTrue="1">
      <formula>MOD(ROW(),2) = 1</formula>
    </cfRule>
  </conditionalFormatting>
  <conditionalFormatting sqref="C4">
    <cfRule type="expression" dxfId="371" priority="43" stopIfTrue="1">
      <formula>MOD(ROW(),2) = 1</formula>
    </cfRule>
  </conditionalFormatting>
  <conditionalFormatting sqref="S2">
    <cfRule type="expression" dxfId="370" priority="42" stopIfTrue="1">
      <formula>MOD(ROW(),2) = 1</formula>
    </cfRule>
  </conditionalFormatting>
  <conditionalFormatting sqref="Q11">
    <cfRule type="expression" dxfId="369" priority="41" stopIfTrue="1">
      <formula>MOD(ROW(),2) = 1</formula>
    </cfRule>
  </conditionalFormatting>
  <conditionalFormatting sqref="Q12">
    <cfRule type="expression" dxfId="368" priority="40" stopIfTrue="1">
      <formula>MOD(ROW(),2) = 1</formula>
    </cfRule>
  </conditionalFormatting>
  <conditionalFormatting sqref="Q13">
    <cfRule type="expression" dxfId="367" priority="39" stopIfTrue="1">
      <formula>MOD(ROW(),2) = 1</formula>
    </cfRule>
  </conditionalFormatting>
  <conditionalFormatting sqref="Q14">
    <cfRule type="expression" dxfId="366" priority="38" stopIfTrue="1">
      <formula>MOD(ROW(),2) = 1</formula>
    </cfRule>
  </conditionalFormatting>
  <conditionalFormatting sqref="T2:T14">
    <cfRule type="expression" dxfId="365" priority="37" stopIfTrue="1">
      <formula>MOD(ROW(),2) = 1</formula>
    </cfRule>
  </conditionalFormatting>
  <conditionalFormatting sqref="R2:R14">
    <cfRule type="expression" dxfId="364" priority="24" stopIfTrue="1">
      <formula>MOD(ROW(),2) = 1</formula>
    </cfRule>
  </conditionalFormatting>
  <conditionalFormatting sqref="U2:U3">
    <cfRule type="expression" dxfId="363" priority="22" stopIfTrue="1">
      <formula>MOD(ROW(),2) = 1</formula>
    </cfRule>
  </conditionalFormatting>
  <conditionalFormatting sqref="U4">
    <cfRule type="expression" dxfId="362" priority="21" stopIfTrue="1">
      <formula>MOD(ROW(),2) = 1</formula>
    </cfRule>
  </conditionalFormatting>
  <conditionalFormatting sqref="W5">
    <cfRule type="expression" dxfId="361" priority="20" stopIfTrue="1">
      <formula>MOD(ROW(),2) = 1</formula>
    </cfRule>
  </conditionalFormatting>
  <conditionalFormatting sqref="W6">
    <cfRule type="expression" dxfId="360" priority="19" stopIfTrue="1">
      <formula>MOD(ROW(),2) = 1</formula>
    </cfRule>
  </conditionalFormatting>
  <conditionalFormatting sqref="W7">
    <cfRule type="expression" dxfId="359" priority="18" stopIfTrue="1">
      <formula>MOD(ROW(),2) = 1</formula>
    </cfRule>
  </conditionalFormatting>
  <conditionalFormatting sqref="W8">
    <cfRule type="expression" dxfId="358" priority="17" stopIfTrue="1">
      <formula>MOD(ROW(),2) = 1</formula>
    </cfRule>
  </conditionalFormatting>
  <conditionalFormatting sqref="W9">
    <cfRule type="expression" dxfId="357" priority="16" stopIfTrue="1">
      <formula>MOD(ROW(),2) = 1</formula>
    </cfRule>
  </conditionalFormatting>
  <conditionalFormatting sqref="W10">
    <cfRule type="expression" dxfId="356" priority="15" stopIfTrue="1">
      <formula>MOD(ROW(),2) = 1</formula>
    </cfRule>
  </conditionalFormatting>
  <conditionalFormatting sqref="W11">
    <cfRule type="expression" dxfId="355" priority="14" stopIfTrue="1">
      <formula>MOD(ROW(),2) = 1</formula>
    </cfRule>
  </conditionalFormatting>
  <conditionalFormatting sqref="W12">
    <cfRule type="expression" dxfId="354" priority="13" stopIfTrue="1">
      <formula>MOD(ROW(),2) = 1</formula>
    </cfRule>
  </conditionalFormatting>
  <conditionalFormatting sqref="W13">
    <cfRule type="expression" dxfId="353" priority="12" stopIfTrue="1">
      <formula>MOD(ROW(),2) = 1</formula>
    </cfRule>
  </conditionalFormatting>
  <conditionalFormatting sqref="W14">
    <cfRule type="expression" dxfId="352" priority="11" stopIfTrue="1">
      <formula>MOD(ROW(),2) = 1</formula>
    </cfRule>
  </conditionalFormatting>
  <conditionalFormatting sqref="V2:V14">
    <cfRule type="expression" dxfId="351" priority="10" stopIfTrue="1">
      <formula>MOD(ROW(),2) = 1</formula>
    </cfRule>
  </conditionalFormatting>
  <conditionalFormatting sqref="AM16">
    <cfRule type="expression" dxfId="350" priority="1" stopIfTrue="1">
      <formula>MOD(ROW(),2) = 1</formula>
    </cfRule>
  </conditionalFormatting>
  <conditionalFormatting sqref="AJ16:AK16 J16 L16:T16 W16:AH16 AN16:IU16">
    <cfRule type="expression" dxfId="349" priority="9" stopIfTrue="1">
      <formula>MOD(ROW(),2) = 1</formula>
    </cfRule>
  </conditionalFormatting>
  <conditionalFormatting sqref="A16">
    <cfRule type="expression" dxfId="348" priority="8" stopIfTrue="1">
      <formula>MOD(ROW(),2) = 1</formula>
    </cfRule>
  </conditionalFormatting>
  <conditionalFormatting sqref="B16:C16 E16:H16">
    <cfRule type="expression" dxfId="347" priority="7" stopIfTrue="1">
      <formula>MOD(ROW(),2) = 1</formula>
    </cfRule>
  </conditionalFormatting>
  <conditionalFormatting sqref="D16">
    <cfRule type="expression" dxfId="346" priority="6" stopIfTrue="1">
      <formula>MOD(ROW(),2) = 1</formula>
    </cfRule>
  </conditionalFormatting>
  <conditionalFormatting sqref="K16">
    <cfRule type="expression" dxfId="345" priority="5" stopIfTrue="1">
      <formula>MOD(ROW(),2) = 1</formula>
    </cfRule>
  </conditionalFormatting>
  <conditionalFormatting sqref="I16">
    <cfRule type="expression" dxfId="344" priority="4" stopIfTrue="1">
      <formula>MOD(ROW(),2) = 1</formula>
    </cfRule>
  </conditionalFormatting>
  <conditionalFormatting sqref="V16">
    <cfRule type="expression" dxfId="343" priority="3" stopIfTrue="1">
      <formula>MOD(ROW(),2) = 1</formula>
    </cfRule>
  </conditionalFormatting>
  <conditionalFormatting sqref="AL16">
    <cfRule type="expression" dxfId="342" priority="2" stopIfTrue="1">
      <formula>MOD(ROW(),2) = 1</formula>
    </cfRule>
  </conditionalFormatting>
  <pageMargins left="0.39370078740157483" right="0.39370078740157483" top="0.39370078740157483" bottom="0.39370078740157483" header="0.51181102362204722" footer="0.51181102362204722"/>
  <pageSetup paperSize="9" scale="17" fitToHeight="0" orientation="landscape"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Coloring">
                <anchor moveWithCells="1" sizeWithCells="1">
                  <from>
                    <xdr:col>1</xdr:col>
                    <xdr:colOff>260350</xdr:colOff>
                    <xdr:row>0</xdr:row>
                    <xdr:rowOff>31750</xdr:rowOff>
                  </from>
                  <to>
                    <xdr:col>1</xdr:col>
                    <xdr:colOff>984250</xdr:colOff>
                    <xdr:row>0</xdr:row>
                    <xdr:rowOff>228600</xdr:rowOff>
                  </to>
                </anchor>
              </controlPr>
            </control>
          </mc:Choice>
        </mc:AlternateContent>
        <mc:AlternateContent xmlns:mc="http://schemas.openxmlformats.org/markup-compatibility/2006">
          <mc:Choice Requires="x14">
            <control shapeId="31746" r:id="rId5" name="Button 2">
              <controlPr defaultSize="0" print="0" autoFill="0" autoPict="0" macro="[0]!Coloring">
                <anchor moveWithCells="1" sizeWithCells="1">
                  <from>
                    <xdr:col>1</xdr:col>
                    <xdr:colOff>1035050</xdr:colOff>
                    <xdr:row>0</xdr:row>
                    <xdr:rowOff>31750</xdr:rowOff>
                  </from>
                  <to>
                    <xdr:col>2</xdr:col>
                    <xdr:colOff>717550</xdr:colOff>
                    <xdr:row>0</xdr:row>
                    <xdr:rowOff>292100</xdr:rowOff>
                  </to>
                </anchor>
              </controlPr>
            </control>
          </mc:Choice>
        </mc:AlternateContent>
        <mc:AlternateContent xmlns:mc="http://schemas.openxmlformats.org/markup-compatibility/2006">
          <mc:Choice Requires="x14">
            <control shapeId="31747" r:id="rId6" name="Button 3">
              <controlPr defaultSize="0" print="0" autoFill="0" autoPict="0" macro="[0]!WRITE_CSVFile3">
                <anchor moveWithCells="1" sizeWithCells="1">
                  <from>
                    <xdr:col>1</xdr:col>
                    <xdr:colOff>76200</xdr:colOff>
                    <xdr:row>0</xdr:row>
                    <xdr:rowOff>31750</xdr:rowOff>
                  </from>
                  <to>
                    <xdr:col>1</xdr:col>
                    <xdr:colOff>1016000</xdr:colOff>
                    <xdr:row>0</xdr:row>
                    <xdr:rowOff>292100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pageSetUpPr fitToPage="1"/>
  </sheetPr>
  <dimension ref="A1:AZ16"/>
  <sheetViews>
    <sheetView zoomScale="115" zoomScaleNormal="115" workbookViewId="0">
      <pane xSplit="2" ySplit="1" topLeftCell="C2" activePane="bottomRight" state="frozen"/>
      <selection pane="topRight" activeCell="C1" sqref="C1"/>
      <selection pane="bottomLeft" activeCell="A2" sqref="A2"/>
      <selection pane="bottomRight" activeCell="C18" sqref="C18"/>
    </sheetView>
  </sheetViews>
  <sheetFormatPr defaultColWidth="9.33203125" defaultRowHeight="12"/>
  <cols>
    <col min="1" max="1" width="9.33203125" style="8"/>
    <col min="2" max="2" width="23.33203125" style="8" customWidth="1"/>
    <col min="3" max="3" width="32.109375" style="8" customWidth="1"/>
    <col min="4" max="4" width="22.44140625" style="8" customWidth="1"/>
    <col min="5" max="5" width="21.6640625" style="8" customWidth="1"/>
    <col min="6" max="6" width="13" style="8" customWidth="1"/>
    <col min="7" max="7" width="9.33203125" style="8" customWidth="1"/>
    <col min="8" max="8" width="6.6640625" style="8" customWidth="1"/>
    <col min="9" max="9" width="15" style="8" customWidth="1"/>
    <col min="10" max="10" width="11.33203125" style="8" customWidth="1"/>
    <col min="11" max="14" width="9.33203125" style="8"/>
    <col min="15" max="15" width="15.33203125" style="8" customWidth="1"/>
    <col min="16" max="16" width="9.33203125" style="8"/>
    <col min="17" max="17" width="19.77734375" style="8" customWidth="1"/>
    <col min="18" max="18" width="34.77734375" style="8" customWidth="1"/>
    <col min="19" max="19" width="27.21875" style="8" customWidth="1"/>
    <col min="20" max="20" width="29.44140625" style="8" customWidth="1"/>
    <col min="21" max="21" width="25.33203125" style="8" customWidth="1"/>
    <col min="22" max="22" width="30.21875" style="8" customWidth="1"/>
    <col min="23" max="23" width="13.21875" style="8" customWidth="1"/>
    <col min="24" max="28" width="14.88671875" style="8" customWidth="1"/>
    <col min="29" max="29" width="12.33203125" style="8" customWidth="1"/>
    <col min="30" max="30" width="11.44140625" style="8" customWidth="1"/>
    <col min="31" max="40" width="9.33203125" style="8"/>
    <col min="41" max="41" width="15.44140625" style="8" customWidth="1"/>
    <col min="42" max="42" width="9.33203125" style="8"/>
    <col min="43" max="43" width="12.44140625" style="8" customWidth="1"/>
    <col min="44" max="44" width="9.33203125" style="8"/>
    <col min="45" max="45" width="9.6640625" style="8" bestFit="1" customWidth="1"/>
    <col min="46" max="51" width="9.33203125" style="8"/>
    <col min="52" max="52" width="70.88671875" style="8" customWidth="1"/>
    <col min="53" max="16384" width="9.33203125" style="8"/>
  </cols>
  <sheetData>
    <row r="1" spans="1:52" s="129" customFormat="1" ht="63.75" customHeight="1" thickBot="1">
      <c r="A1" s="128" t="s">
        <v>337</v>
      </c>
      <c r="B1" s="128" t="s">
        <v>338</v>
      </c>
      <c r="C1" s="128" t="s">
        <v>105</v>
      </c>
      <c r="D1" s="128" t="s">
        <v>877</v>
      </c>
      <c r="E1" s="128" t="s">
        <v>352</v>
      </c>
      <c r="F1" s="128" t="s">
        <v>354</v>
      </c>
      <c r="G1" s="128" t="s">
        <v>356</v>
      </c>
      <c r="H1" s="128" t="s">
        <v>358</v>
      </c>
      <c r="I1" s="128" t="s">
        <v>6</v>
      </c>
      <c r="J1" s="128" t="s">
        <v>701</v>
      </c>
      <c r="K1" s="128" t="s">
        <v>702</v>
      </c>
      <c r="L1" s="128" t="s">
        <v>8</v>
      </c>
      <c r="M1" s="128" t="s">
        <v>9</v>
      </c>
      <c r="N1" s="128" t="s">
        <v>10</v>
      </c>
      <c r="O1" s="128" t="s">
        <v>935</v>
      </c>
      <c r="P1" s="128" t="s">
        <v>381</v>
      </c>
      <c r="Q1" s="128" t="s">
        <v>875</v>
      </c>
      <c r="R1" s="128" t="s">
        <v>879</v>
      </c>
      <c r="S1" s="128" t="s">
        <v>342</v>
      </c>
      <c r="T1" s="128" t="s">
        <v>967</v>
      </c>
      <c r="U1" s="128" t="s">
        <v>969</v>
      </c>
      <c r="V1" s="128" t="s">
        <v>984</v>
      </c>
      <c r="W1" s="128" t="s">
        <v>1049</v>
      </c>
      <c r="X1" s="128" t="s">
        <v>21</v>
      </c>
      <c r="Y1" s="128" t="s">
        <v>377</v>
      </c>
      <c r="Z1" s="128" t="s">
        <v>23</v>
      </c>
      <c r="AA1" s="128" t="s">
        <v>24</v>
      </c>
      <c r="AB1" s="128" t="s">
        <v>25</v>
      </c>
      <c r="AC1" s="128" t="s">
        <v>349</v>
      </c>
      <c r="AD1" s="128" t="s">
        <v>391</v>
      </c>
      <c r="AE1" s="128" t="s">
        <v>392</v>
      </c>
      <c r="AF1" s="128" t="s">
        <v>347</v>
      </c>
      <c r="AG1" s="128" t="s">
        <v>348</v>
      </c>
      <c r="AH1" s="128" t="s">
        <v>350</v>
      </c>
      <c r="AI1" s="128" t="s">
        <v>1063</v>
      </c>
      <c r="AJ1" s="128" t="s">
        <v>1071</v>
      </c>
      <c r="AK1" s="128" t="s">
        <v>1072</v>
      </c>
      <c r="AL1" s="128" t="s">
        <v>1079</v>
      </c>
      <c r="AM1" s="128" t="s">
        <v>1084</v>
      </c>
      <c r="AN1" s="128" t="s">
        <v>331</v>
      </c>
      <c r="AO1" s="128" t="s">
        <v>332</v>
      </c>
      <c r="AP1" s="128" t="s">
        <v>333</v>
      </c>
      <c r="AQ1" s="128" t="s">
        <v>389</v>
      </c>
      <c r="AR1" s="128" t="s">
        <v>233</v>
      </c>
      <c r="AS1" s="128" t="s">
        <v>774</v>
      </c>
      <c r="AT1" s="128" t="s">
        <v>775</v>
      </c>
      <c r="AU1" s="128" t="s">
        <v>994</v>
      </c>
      <c r="AV1" s="128" t="s">
        <v>155</v>
      </c>
      <c r="AW1" s="128" t="s">
        <v>156</v>
      </c>
      <c r="AX1" s="128" t="s">
        <v>157</v>
      </c>
      <c r="AY1" s="128" t="s">
        <v>158</v>
      </c>
      <c r="AZ1" s="128" t="s">
        <v>327</v>
      </c>
    </row>
    <row r="2" spans="1:52" ht="12.5" thickTop="1">
      <c r="A2" s="173" t="s">
        <v>26</v>
      </c>
      <c r="B2" s="173" t="s">
        <v>934</v>
      </c>
      <c r="C2" s="173" t="s">
        <v>872</v>
      </c>
      <c r="D2" s="173" t="s">
        <v>968</v>
      </c>
      <c r="E2" s="173" t="s">
        <v>868</v>
      </c>
      <c r="F2" s="173" t="s">
        <v>29</v>
      </c>
      <c r="G2" s="173" t="s">
        <v>168</v>
      </c>
      <c r="H2" s="173">
        <v>2</v>
      </c>
      <c r="I2" s="173" t="s">
        <v>810</v>
      </c>
      <c r="J2" s="47">
        <v>26.797289580928126</v>
      </c>
      <c r="K2" s="47"/>
      <c r="L2" s="173">
        <v>816</v>
      </c>
      <c r="M2" s="173">
        <v>612.5</v>
      </c>
      <c r="N2" s="173"/>
      <c r="O2" s="173"/>
      <c r="P2" s="173">
        <v>5</v>
      </c>
      <c r="Q2" s="173" t="s">
        <v>874</v>
      </c>
      <c r="R2" s="173" t="s">
        <v>980</v>
      </c>
      <c r="S2" s="40" t="s">
        <v>917</v>
      </c>
      <c r="T2" s="173" t="s">
        <v>1013</v>
      </c>
      <c r="U2" s="173" t="s">
        <v>968</v>
      </c>
      <c r="V2" s="173" t="s">
        <v>985</v>
      </c>
      <c r="W2" s="173" t="s">
        <v>1112</v>
      </c>
      <c r="X2" s="173"/>
      <c r="Y2" s="173"/>
      <c r="Z2" s="173"/>
      <c r="AA2" s="173"/>
      <c r="AB2" s="173"/>
      <c r="AC2" s="173"/>
      <c r="AD2" s="173"/>
      <c r="AE2" s="173"/>
      <c r="AF2" s="173"/>
      <c r="AG2" s="18"/>
      <c r="AH2" s="18"/>
      <c r="AI2" s="18"/>
      <c r="AJ2" s="18"/>
      <c r="AK2" s="18"/>
      <c r="AL2" s="18"/>
      <c r="AM2" s="18"/>
      <c r="AN2" s="18">
        <v>1</v>
      </c>
      <c r="AO2" s="18">
        <v>1</v>
      </c>
      <c r="AP2" s="18">
        <v>1</v>
      </c>
      <c r="AQ2" s="18"/>
      <c r="AR2" s="18"/>
      <c r="AS2" s="18"/>
      <c r="AT2" s="18">
        <v>20296</v>
      </c>
      <c r="AU2" s="18">
        <v>3</v>
      </c>
      <c r="AV2" s="18"/>
      <c r="AW2" s="18"/>
      <c r="AX2" s="18"/>
      <c r="AY2" s="18"/>
      <c r="AZ2" s="173"/>
    </row>
    <row r="3" spans="1:52">
      <c r="A3" s="173" t="s">
        <v>26</v>
      </c>
      <c r="B3" s="173" t="s">
        <v>876</v>
      </c>
      <c r="C3" s="173" t="s">
        <v>873</v>
      </c>
      <c r="D3" s="173" t="s">
        <v>878</v>
      </c>
      <c r="E3" s="173" t="s">
        <v>868</v>
      </c>
      <c r="F3" s="173" t="s">
        <v>29</v>
      </c>
      <c r="G3" s="173" t="s">
        <v>168</v>
      </c>
      <c r="H3" s="173">
        <v>2</v>
      </c>
      <c r="I3" s="173" t="s">
        <v>810</v>
      </c>
      <c r="J3" s="47">
        <v>27.087773581318135</v>
      </c>
      <c r="K3" s="47"/>
      <c r="L3" s="173">
        <v>806.5</v>
      </c>
      <c r="M3" s="173">
        <v>617</v>
      </c>
      <c r="N3" s="173"/>
      <c r="O3" s="173"/>
      <c r="P3" s="173">
        <v>5</v>
      </c>
      <c r="Q3" s="173" t="s">
        <v>874</v>
      </c>
      <c r="R3" s="173" t="s">
        <v>980</v>
      </c>
      <c r="S3" s="168" t="s">
        <v>916</v>
      </c>
      <c r="T3" s="173" t="s">
        <v>1014</v>
      </c>
      <c r="U3" s="173" t="s">
        <v>878</v>
      </c>
      <c r="V3" s="173" t="s">
        <v>985</v>
      </c>
      <c r="W3" s="173" t="s">
        <v>1112</v>
      </c>
      <c r="X3" s="173"/>
      <c r="Y3" s="173"/>
      <c r="Z3" s="173"/>
      <c r="AA3" s="173"/>
      <c r="AB3" s="173"/>
      <c r="AC3" s="173"/>
      <c r="AD3" s="173"/>
      <c r="AE3" s="173"/>
      <c r="AF3" s="173"/>
      <c r="AG3" s="18"/>
      <c r="AH3" s="18"/>
      <c r="AI3" s="18"/>
      <c r="AJ3" s="18"/>
      <c r="AK3" s="18"/>
      <c r="AL3" s="18"/>
      <c r="AM3" s="18"/>
      <c r="AN3" s="18">
        <v>1</v>
      </c>
      <c r="AO3" s="18">
        <v>1</v>
      </c>
      <c r="AP3" s="18">
        <v>1</v>
      </c>
      <c r="AQ3" s="18"/>
      <c r="AR3" s="18"/>
      <c r="AS3" s="18"/>
      <c r="AT3" s="18">
        <v>40000</v>
      </c>
      <c r="AU3" s="18">
        <v>10</v>
      </c>
      <c r="AV3" s="18"/>
      <c r="AW3" s="18"/>
      <c r="AX3" s="18"/>
      <c r="AY3" s="18"/>
      <c r="AZ3" s="173"/>
    </row>
    <row r="4" spans="1:52" s="166" customFormat="1">
      <c r="A4" s="173" t="s">
        <v>26</v>
      </c>
      <c r="B4" s="167" t="s">
        <v>929</v>
      </c>
      <c r="C4" s="40" t="s">
        <v>931</v>
      </c>
      <c r="D4" s="167" t="s">
        <v>930</v>
      </c>
      <c r="E4" s="167" t="s">
        <v>868</v>
      </c>
      <c r="F4" s="167" t="s">
        <v>29</v>
      </c>
      <c r="G4" s="167" t="s">
        <v>168</v>
      </c>
      <c r="H4" s="167">
        <v>2</v>
      </c>
      <c r="I4" s="167" t="s">
        <v>810</v>
      </c>
      <c r="J4" s="168">
        <v>19.1461535865025</v>
      </c>
      <c r="K4" s="168"/>
      <c r="L4" s="168">
        <v>818</v>
      </c>
      <c r="M4" s="168">
        <v>611</v>
      </c>
      <c r="N4" s="173"/>
      <c r="O4" s="168"/>
      <c r="P4" s="167">
        <v>5</v>
      </c>
      <c r="Q4" s="167" t="s">
        <v>874</v>
      </c>
      <c r="R4" s="173" t="s">
        <v>980</v>
      </c>
      <c r="S4" s="168" t="s">
        <v>918</v>
      </c>
      <c r="T4" s="173" t="s">
        <v>1015</v>
      </c>
      <c r="U4" s="167" t="s">
        <v>930</v>
      </c>
      <c r="V4" s="173" t="s">
        <v>985</v>
      </c>
      <c r="W4" s="173" t="s">
        <v>1112</v>
      </c>
      <c r="X4" s="168"/>
      <c r="Y4" s="168"/>
      <c r="Z4" s="168"/>
      <c r="AA4" s="168"/>
      <c r="AB4" s="168"/>
      <c r="AC4" s="168"/>
      <c r="AD4" s="168"/>
      <c r="AE4" s="168"/>
      <c r="AF4" s="168"/>
      <c r="AG4" s="168"/>
      <c r="AH4" s="168"/>
      <c r="AI4" s="168"/>
      <c r="AJ4" s="168"/>
      <c r="AK4" s="168"/>
      <c r="AL4" s="168"/>
      <c r="AM4" s="168"/>
      <c r="AN4" s="168"/>
      <c r="AO4" s="168"/>
      <c r="AP4" s="168"/>
      <c r="AQ4" s="168"/>
      <c r="AR4" s="168"/>
      <c r="AS4" s="168"/>
      <c r="AT4" s="168">
        <v>20296</v>
      </c>
      <c r="AU4" s="168">
        <v>3</v>
      </c>
      <c r="AV4" s="168"/>
      <c r="AW4" s="168"/>
      <c r="AX4" s="168"/>
      <c r="AY4" s="168"/>
      <c r="AZ4" s="168"/>
    </row>
    <row r="5" spans="1:52" s="166" customFormat="1">
      <c r="A5" s="173" t="s">
        <v>26</v>
      </c>
      <c r="B5" s="168" t="s">
        <v>939</v>
      </c>
      <c r="C5" s="168" t="s">
        <v>936</v>
      </c>
      <c r="D5" s="168" t="s">
        <v>943</v>
      </c>
      <c r="E5" s="167" t="s">
        <v>868</v>
      </c>
      <c r="F5" s="167" t="s">
        <v>29</v>
      </c>
      <c r="G5" s="167" t="s">
        <v>168</v>
      </c>
      <c r="H5" s="167"/>
      <c r="I5" s="167" t="s">
        <v>810</v>
      </c>
      <c r="J5" s="168">
        <v>19.690125546533221</v>
      </c>
      <c r="K5" s="168"/>
      <c r="L5" s="168">
        <v>820</v>
      </c>
      <c r="M5" s="168">
        <v>600</v>
      </c>
      <c r="N5" s="173"/>
      <c r="O5" s="168"/>
      <c r="P5" s="167">
        <v>5</v>
      </c>
      <c r="Q5" s="167" t="s">
        <v>874</v>
      </c>
      <c r="R5" s="173" t="s">
        <v>982</v>
      </c>
      <c r="S5" s="168" t="s">
        <v>919</v>
      </c>
      <c r="T5" s="173" t="s">
        <v>1016</v>
      </c>
      <c r="U5" s="168" t="s">
        <v>970</v>
      </c>
      <c r="V5" s="173"/>
      <c r="W5" s="173" t="s">
        <v>1112</v>
      </c>
      <c r="X5" s="168"/>
      <c r="Y5" s="168"/>
      <c r="Z5" s="168"/>
      <c r="AA5" s="168"/>
      <c r="AB5" s="168"/>
      <c r="AC5" s="168"/>
      <c r="AD5" s="168"/>
      <c r="AE5" s="168"/>
      <c r="AF5" s="168"/>
      <c r="AG5" s="168"/>
      <c r="AH5" s="168"/>
      <c r="AI5" s="168"/>
      <c r="AJ5" s="168"/>
      <c r="AK5" s="168"/>
      <c r="AL5" s="168"/>
      <c r="AM5" s="168"/>
      <c r="AN5" s="168"/>
      <c r="AO5" s="168"/>
      <c r="AP5" s="168"/>
      <c r="AQ5" s="168"/>
      <c r="AR5" s="168"/>
      <c r="AS5" s="168"/>
      <c r="AT5" s="168">
        <v>80000</v>
      </c>
      <c r="AU5" s="168">
        <v>1</v>
      </c>
      <c r="AV5" s="168"/>
      <c r="AW5" s="168"/>
      <c r="AX5" s="168"/>
      <c r="AY5" s="168"/>
      <c r="AZ5" s="168"/>
    </row>
    <row r="6" spans="1:52" s="166" customFormat="1">
      <c r="A6" s="173" t="s">
        <v>26</v>
      </c>
      <c r="B6" s="168" t="s">
        <v>940</v>
      </c>
      <c r="C6" s="168" t="s">
        <v>937</v>
      </c>
      <c r="D6" s="168" t="s">
        <v>944</v>
      </c>
      <c r="E6" s="167" t="s">
        <v>868</v>
      </c>
      <c r="F6" s="167" t="s">
        <v>29</v>
      </c>
      <c r="G6" s="167" t="s">
        <v>168</v>
      </c>
      <c r="H6" s="167">
        <v>2</v>
      </c>
      <c r="I6" s="167" t="s">
        <v>810</v>
      </c>
      <c r="J6" s="168">
        <v>19.21580536573601</v>
      </c>
      <c r="K6" s="168"/>
      <c r="L6" s="168">
        <v>812</v>
      </c>
      <c r="M6" s="168">
        <v>618.5</v>
      </c>
      <c r="N6" s="173"/>
      <c r="O6" s="168"/>
      <c r="P6" s="167">
        <v>5</v>
      </c>
      <c r="Q6" s="167" t="s">
        <v>874</v>
      </c>
      <c r="R6" s="173" t="s">
        <v>993</v>
      </c>
      <c r="S6" s="168" t="s">
        <v>920</v>
      </c>
      <c r="T6" s="173" t="s">
        <v>1017</v>
      </c>
      <c r="U6" s="168" t="s">
        <v>971</v>
      </c>
      <c r="V6" s="173" t="s">
        <v>987</v>
      </c>
      <c r="W6" s="173" t="s">
        <v>1112</v>
      </c>
      <c r="X6" s="168"/>
      <c r="Y6" s="168"/>
      <c r="Z6" s="168"/>
      <c r="AA6" s="168"/>
      <c r="AB6" s="168"/>
      <c r="AC6" s="168"/>
      <c r="AD6" s="168"/>
      <c r="AE6" s="168"/>
      <c r="AF6" s="168"/>
      <c r="AG6" s="168"/>
      <c r="AH6" s="168"/>
      <c r="AI6" s="168"/>
      <c r="AJ6" s="168"/>
      <c r="AK6" s="168"/>
      <c r="AL6" s="168"/>
      <c r="AM6" s="168"/>
      <c r="AN6" s="168"/>
      <c r="AO6" s="168"/>
      <c r="AP6" s="168"/>
      <c r="AQ6" s="168"/>
      <c r="AR6" s="168"/>
      <c r="AS6" s="168"/>
      <c r="AT6" s="168">
        <v>80000</v>
      </c>
      <c r="AU6" s="168">
        <v>3</v>
      </c>
      <c r="AV6" s="168"/>
      <c r="AW6" s="168"/>
      <c r="AX6" s="168"/>
      <c r="AY6" s="168"/>
      <c r="AZ6" s="168"/>
    </row>
    <row r="7" spans="1:52" s="166" customFormat="1">
      <c r="A7" s="173" t="s">
        <v>26</v>
      </c>
      <c r="B7" s="168" t="s">
        <v>941</v>
      </c>
      <c r="C7" s="168" t="s">
        <v>938</v>
      </c>
      <c r="D7" s="168" t="s">
        <v>945</v>
      </c>
      <c r="E7" s="167" t="s">
        <v>868</v>
      </c>
      <c r="F7" s="167" t="s">
        <v>29</v>
      </c>
      <c r="G7" s="167" t="s">
        <v>168</v>
      </c>
      <c r="H7" s="167">
        <v>2</v>
      </c>
      <c r="I7" s="167" t="s">
        <v>810</v>
      </c>
      <c r="J7" s="168">
        <v>20.262215341780987</v>
      </c>
      <c r="K7" s="168"/>
      <c r="L7" s="168">
        <v>817.5</v>
      </c>
      <c r="M7" s="168">
        <v>623</v>
      </c>
      <c r="N7" s="173"/>
      <c r="O7" s="168"/>
      <c r="P7" s="167">
        <v>5</v>
      </c>
      <c r="Q7" s="167" t="s">
        <v>874</v>
      </c>
      <c r="R7" s="173" t="s">
        <v>989</v>
      </c>
      <c r="S7" s="168" t="s">
        <v>921</v>
      </c>
      <c r="T7" s="173" t="s">
        <v>1018</v>
      </c>
      <c r="U7" s="168" t="s">
        <v>972</v>
      </c>
      <c r="V7" s="173" t="s">
        <v>988</v>
      </c>
      <c r="W7" s="173" t="s">
        <v>1112</v>
      </c>
      <c r="X7" s="168"/>
      <c r="Y7" s="168"/>
      <c r="Z7" s="168"/>
      <c r="AA7" s="168"/>
      <c r="AB7" s="168"/>
      <c r="AC7" s="168"/>
      <c r="AD7" s="168"/>
      <c r="AE7" s="168"/>
      <c r="AF7" s="168"/>
      <c r="AG7" s="168"/>
      <c r="AH7" s="168"/>
      <c r="AI7" s="168"/>
      <c r="AJ7" s="168"/>
      <c r="AK7" s="168"/>
      <c r="AL7" s="168"/>
      <c r="AM7" s="168"/>
      <c r="AN7" s="168"/>
      <c r="AO7" s="168"/>
      <c r="AP7" s="168"/>
      <c r="AQ7" s="168"/>
      <c r="AR7" s="168"/>
      <c r="AS7" s="168"/>
      <c r="AT7" s="168">
        <v>40000</v>
      </c>
      <c r="AU7" s="168">
        <v>2</v>
      </c>
      <c r="AV7" s="168"/>
      <c r="AW7" s="168"/>
      <c r="AX7" s="168"/>
      <c r="AY7" s="168"/>
      <c r="AZ7" s="168"/>
    </row>
    <row r="8" spans="1:52" s="166" customFormat="1">
      <c r="A8" s="173" t="s">
        <v>26</v>
      </c>
      <c r="B8" s="168" t="s">
        <v>942</v>
      </c>
      <c r="C8" s="168" t="s">
        <v>947</v>
      </c>
      <c r="D8" s="168" t="s">
        <v>946</v>
      </c>
      <c r="E8" s="167" t="s">
        <v>868</v>
      </c>
      <c r="F8" s="167" t="s">
        <v>29</v>
      </c>
      <c r="G8" s="167" t="s">
        <v>168</v>
      </c>
      <c r="H8" s="167"/>
      <c r="I8" s="167" t="s">
        <v>810</v>
      </c>
      <c r="J8" s="168">
        <v>19.642345407682452</v>
      </c>
      <c r="K8" s="168"/>
      <c r="L8" s="168">
        <v>828.5</v>
      </c>
      <c r="M8" s="168">
        <v>618.5</v>
      </c>
      <c r="N8" s="173"/>
      <c r="O8" s="168"/>
      <c r="P8" s="167">
        <v>5</v>
      </c>
      <c r="Q8" s="167" t="s">
        <v>874</v>
      </c>
      <c r="R8" s="173" t="s">
        <v>982</v>
      </c>
      <c r="S8" s="168" t="s">
        <v>922</v>
      </c>
      <c r="T8" s="173" t="s">
        <v>1019</v>
      </c>
      <c r="U8" s="168" t="s">
        <v>973</v>
      </c>
      <c r="V8" s="173"/>
      <c r="W8" s="173" t="s">
        <v>1112</v>
      </c>
      <c r="X8" s="168"/>
      <c r="Y8" s="168"/>
      <c r="Z8" s="168"/>
      <c r="AA8" s="168"/>
      <c r="AB8" s="168"/>
      <c r="AC8" s="168"/>
      <c r="AD8" s="168"/>
      <c r="AE8" s="168"/>
      <c r="AF8" s="168"/>
      <c r="AG8" s="168"/>
      <c r="AH8" s="168"/>
      <c r="AI8" s="168"/>
      <c r="AJ8" s="168"/>
      <c r="AK8" s="168"/>
      <c r="AL8" s="168"/>
      <c r="AM8" s="168"/>
      <c r="AN8" s="168"/>
      <c r="AO8" s="168"/>
      <c r="AP8" s="168"/>
      <c r="AQ8" s="168"/>
      <c r="AR8" s="168"/>
      <c r="AS8" s="168"/>
      <c r="AT8" s="168">
        <v>80000</v>
      </c>
      <c r="AU8" s="168">
        <v>1</v>
      </c>
      <c r="AV8" s="168"/>
      <c r="AW8" s="168"/>
      <c r="AX8" s="168"/>
      <c r="AY8" s="168"/>
      <c r="AZ8" s="168"/>
    </row>
    <row r="9" spans="1:52" s="166" customFormat="1">
      <c r="A9" s="173" t="s">
        <v>26</v>
      </c>
      <c r="B9" s="168" t="s">
        <v>954</v>
      </c>
      <c r="C9" s="168" t="s">
        <v>948</v>
      </c>
      <c r="D9" s="168" t="s">
        <v>960</v>
      </c>
      <c r="E9" s="167" t="s">
        <v>923</v>
      </c>
      <c r="F9" s="167" t="s">
        <v>29</v>
      </c>
      <c r="G9" s="167" t="s">
        <v>168</v>
      </c>
      <c r="H9" s="167"/>
      <c r="I9" s="167" t="s">
        <v>810</v>
      </c>
      <c r="J9" s="168">
        <v>19.555905619816976</v>
      </c>
      <c r="K9" s="168"/>
      <c r="L9" s="168">
        <v>814</v>
      </c>
      <c r="M9" s="168">
        <v>594</v>
      </c>
      <c r="N9" s="173"/>
      <c r="O9" s="168"/>
      <c r="P9" s="167">
        <v>5</v>
      </c>
      <c r="Q9" s="167" t="s">
        <v>966</v>
      </c>
      <c r="R9" s="173" t="s">
        <v>983</v>
      </c>
      <c r="S9" s="168" t="s">
        <v>924</v>
      </c>
      <c r="T9" s="173" t="s">
        <v>1020</v>
      </c>
      <c r="U9" s="168" t="s">
        <v>974</v>
      </c>
      <c r="V9" s="173"/>
      <c r="W9" s="173" t="s">
        <v>1112</v>
      </c>
      <c r="X9" s="168"/>
      <c r="Y9" s="168"/>
      <c r="Z9" s="168"/>
      <c r="AA9" s="168"/>
      <c r="AB9" s="168"/>
      <c r="AC9" s="168"/>
      <c r="AD9" s="168"/>
      <c r="AE9" s="168"/>
      <c r="AF9" s="168"/>
      <c r="AG9" s="168"/>
      <c r="AH9" s="168"/>
      <c r="AI9" s="168"/>
      <c r="AJ9" s="168"/>
      <c r="AK9" s="168"/>
      <c r="AL9" s="168"/>
      <c r="AM9" s="168"/>
      <c r="AN9" s="168"/>
      <c r="AO9" s="168"/>
      <c r="AP9" s="168"/>
      <c r="AQ9" s="168"/>
      <c r="AR9" s="168"/>
      <c r="AS9" s="168"/>
      <c r="AT9" s="168">
        <v>80000</v>
      </c>
      <c r="AU9" s="168">
        <v>3</v>
      </c>
      <c r="AV9" s="168"/>
      <c r="AW9" s="168"/>
      <c r="AX9" s="168"/>
      <c r="AY9" s="168"/>
      <c r="AZ9" s="168"/>
    </row>
    <row r="10" spans="1:52" s="166" customFormat="1">
      <c r="A10" s="173" t="s">
        <v>26</v>
      </c>
      <c r="B10" s="168" t="s">
        <v>955</v>
      </c>
      <c r="C10" s="168" t="s">
        <v>949</v>
      </c>
      <c r="D10" s="168" t="s">
        <v>961</v>
      </c>
      <c r="E10" s="167" t="s">
        <v>923</v>
      </c>
      <c r="F10" s="167" t="s">
        <v>29</v>
      </c>
      <c r="G10" s="167" t="s">
        <v>168</v>
      </c>
      <c r="H10" s="167"/>
      <c r="I10" s="167" t="s">
        <v>810</v>
      </c>
      <c r="J10" s="168">
        <v>19.093803596359766</v>
      </c>
      <c r="K10" s="168"/>
      <c r="L10" s="168">
        <v>824</v>
      </c>
      <c r="M10" s="168">
        <v>605</v>
      </c>
      <c r="N10" s="173"/>
      <c r="O10" s="168"/>
      <c r="P10" s="167">
        <v>5</v>
      </c>
      <c r="Q10" s="167" t="s">
        <v>966</v>
      </c>
      <c r="R10" s="173" t="s">
        <v>983</v>
      </c>
      <c r="S10" s="168" t="s">
        <v>925</v>
      </c>
      <c r="T10" s="173" t="s">
        <v>1021</v>
      </c>
      <c r="U10" s="168" t="s">
        <v>975</v>
      </c>
      <c r="V10" s="173"/>
      <c r="W10" s="173" t="s">
        <v>1112</v>
      </c>
      <c r="X10" s="168"/>
      <c r="Y10" s="168"/>
      <c r="Z10" s="168"/>
      <c r="AA10" s="168"/>
      <c r="AB10" s="168"/>
      <c r="AC10" s="168"/>
      <c r="AD10" s="168"/>
      <c r="AE10" s="168"/>
      <c r="AF10" s="168"/>
      <c r="AG10" s="168"/>
      <c r="AH10" s="168"/>
      <c r="AI10" s="168"/>
      <c r="AJ10" s="168"/>
      <c r="AK10" s="168"/>
      <c r="AL10" s="168"/>
      <c r="AM10" s="168"/>
      <c r="AN10" s="168"/>
      <c r="AO10" s="168"/>
      <c r="AP10" s="168"/>
      <c r="AQ10" s="168"/>
      <c r="AR10" s="168"/>
      <c r="AS10" s="168"/>
      <c r="AT10" s="168">
        <v>80000</v>
      </c>
      <c r="AU10" s="168">
        <v>2</v>
      </c>
      <c r="AV10" s="168"/>
      <c r="AW10" s="168"/>
      <c r="AX10" s="168"/>
      <c r="AY10" s="168"/>
      <c r="AZ10" s="168"/>
    </row>
    <row r="11" spans="1:52" s="166" customFormat="1">
      <c r="A11" s="173" t="s">
        <v>26</v>
      </c>
      <c r="B11" s="168" t="s">
        <v>956</v>
      </c>
      <c r="C11" s="168" t="s">
        <v>950</v>
      </c>
      <c r="D11" s="168" t="s">
        <v>962</v>
      </c>
      <c r="E11" s="167" t="s">
        <v>923</v>
      </c>
      <c r="F11" s="167" t="s">
        <v>29</v>
      </c>
      <c r="G11" s="167" t="s">
        <v>168</v>
      </c>
      <c r="H11" s="167"/>
      <c r="I11" s="167" t="s">
        <v>810</v>
      </c>
      <c r="J11" s="168">
        <v>19.508443949728207</v>
      </c>
      <c r="K11" s="168"/>
      <c r="L11" s="168">
        <v>814</v>
      </c>
      <c r="M11" s="168">
        <v>608.5</v>
      </c>
      <c r="N11" s="173"/>
      <c r="O11" s="168"/>
      <c r="P11" s="167">
        <v>5</v>
      </c>
      <c r="Q11" s="167" t="s">
        <v>966</v>
      </c>
      <c r="R11" s="173" t="s">
        <v>983</v>
      </c>
      <c r="S11" s="168" t="s">
        <v>926</v>
      </c>
      <c r="T11" s="173" t="s">
        <v>1022</v>
      </c>
      <c r="U11" s="168" t="s">
        <v>976</v>
      </c>
      <c r="V11" s="173"/>
      <c r="W11" s="173" t="s">
        <v>1112</v>
      </c>
      <c r="X11" s="168"/>
      <c r="Y11" s="168"/>
      <c r="Z11" s="168"/>
      <c r="AA11" s="168"/>
      <c r="AB11" s="168"/>
      <c r="AC11" s="168"/>
      <c r="AD11" s="168"/>
      <c r="AE11" s="168"/>
      <c r="AF11" s="168"/>
      <c r="AG11" s="168"/>
      <c r="AH11" s="168"/>
      <c r="AI11" s="168"/>
      <c r="AJ11" s="168"/>
      <c r="AK11" s="168"/>
      <c r="AL11" s="168"/>
      <c r="AM11" s="168"/>
      <c r="AN11" s="168"/>
      <c r="AO11" s="168"/>
      <c r="AP11" s="168"/>
      <c r="AQ11" s="168"/>
      <c r="AR11" s="168"/>
      <c r="AS11" s="168"/>
      <c r="AT11" s="168">
        <v>80000</v>
      </c>
      <c r="AU11" s="168">
        <v>1</v>
      </c>
      <c r="AV11" s="168"/>
      <c r="AW11" s="168"/>
      <c r="AX11" s="168"/>
      <c r="AY11" s="168"/>
      <c r="AZ11" s="168"/>
    </row>
    <row r="12" spans="1:52" s="166" customFormat="1">
      <c r="A12" s="173" t="s">
        <v>26</v>
      </c>
      <c r="B12" s="168" t="s">
        <v>957</v>
      </c>
      <c r="C12" s="168" t="s">
        <v>951</v>
      </c>
      <c r="D12" s="168" t="s">
        <v>963</v>
      </c>
      <c r="E12" s="167" t="s">
        <v>923</v>
      </c>
      <c r="F12" s="167" t="s">
        <v>29</v>
      </c>
      <c r="G12" s="167" t="s">
        <v>168</v>
      </c>
      <c r="H12" s="167">
        <v>2</v>
      </c>
      <c r="I12" s="167" t="s">
        <v>810</v>
      </c>
      <c r="J12" s="168">
        <v>19.188141607910946</v>
      </c>
      <c r="K12" s="168"/>
      <c r="L12" s="168">
        <v>816.5</v>
      </c>
      <c r="M12" s="168">
        <v>607.5</v>
      </c>
      <c r="N12" s="173"/>
      <c r="O12" s="168"/>
      <c r="P12" s="167">
        <v>5</v>
      </c>
      <c r="Q12" s="167" t="s">
        <v>966</v>
      </c>
      <c r="R12" s="173" t="s">
        <v>981</v>
      </c>
      <c r="S12" s="168" t="s">
        <v>927</v>
      </c>
      <c r="T12" s="173" t="s">
        <v>1023</v>
      </c>
      <c r="U12" s="168" t="s">
        <v>977</v>
      </c>
      <c r="V12" s="173" t="s">
        <v>986</v>
      </c>
      <c r="W12" s="173" t="s">
        <v>1112</v>
      </c>
      <c r="X12" s="168"/>
      <c r="Y12" s="168"/>
      <c r="Z12" s="168"/>
      <c r="AA12" s="168"/>
      <c r="AB12" s="168"/>
      <c r="AC12" s="168"/>
      <c r="AD12" s="168"/>
      <c r="AE12" s="168"/>
      <c r="AF12" s="168"/>
      <c r="AG12" s="168"/>
      <c r="AH12" s="168"/>
      <c r="AI12" s="168"/>
      <c r="AJ12" s="168"/>
      <c r="AK12" s="168"/>
      <c r="AL12" s="168"/>
      <c r="AM12" s="168"/>
      <c r="AN12" s="168"/>
      <c r="AO12" s="168"/>
      <c r="AP12" s="168"/>
      <c r="AQ12" s="168"/>
      <c r="AR12" s="168"/>
      <c r="AS12" s="168"/>
      <c r="AT12" s="168">
        <v>80000</v>
      </c>
      <c r="AU12" s="168">
        <v>1</v>
      </c>
      <c r="AV12" s="168"/>
      <c r="AW12" s="168"/>
      <c r="AX12" s="168"/>
      <c r="AY12" s="168"/>
      <c r="AZ12" s="168"/>
    </row>
    <row r="13" spans="1:52" s="166" customFormat="1">
      <c r="A13" s="173" t="s">
        <v>26</v>
      </c>
      <c r="B13" s="168" t="s">
        <v>958</v>
      </c>
      <c r="C13" s="168" t="s">
        <v>952</v>
      </c>
      <c r="D13" s="168" t="s">
        <v>964</v>
      </c>
      <c r="E13" s="167" t="s">
        <v>923</v>
      </c>
      <c r="F13" s="167" t="s">
        <v>29</v>
      </c>
      <c r="G13" s="167" t="s">
        <v>168</v>
      </c>
      <c r="H13" s="167"/>
      <c r="I13" s="167" t="s">
        <v>810</v>
      </c>
      <c r="J13" s="168">
        <v>19.178894165766255</v>
      </c>
      <c r="K13" s="168"/>
      <c r="L13" s="168">
        <v>835</v>
      </c>
      <c r="M13" s="168">
        <v>601.5</v>
      </c>
      <c r="N13" s="173"/>
      <c r="O13" s="168"/>
      <c r="P13" s="167">
        <v>5</v>
      </c>
      <c r="Q13" s="167" t="s">
        <v>966</v>
      </c>
      <c r="R13" s="173" t="s">
        <v>983</v>
      </c>
      <c r="S13" s="168" t="s">
        <v>928</v>
      </c>
      <c r="T13" s="173" t="s">
        <v>1024</v>
      </c>
      <c r="U13" s="168" t="s">
        <v>978</v>
      </c>
      <c r="V13" s="173"/>
      <c r="W13" s="173" t="s">
        <v>1112</v>
      </c>
      <c r="X13" s="168"/>
      <c r="Y13" s="168"/>
      <c r="Z13" s="168"/>
      <c r="AA13" s="168"/>
      <c r="AB13" s="168"/>
      <c r="AC13" s="168"/>
      <c r="AD13" s="168"/>
      <c r="AE13" s="168"/>
      <c r="AF13" s="168"/>
      <c r="AG13" s="168"/>
      <c r="AH13" s="168"/>
      <c r="AI13" s="168"/>
      <c r="AJ13" s="168"/>
      <c r="AK13" s="168"/>
      <c r="AL13" s="168"/>
      <c r="AM13" s="168"/>
      <c r="AN13" s="168"/>
      <c r="AO13" s="168"/>
      <c r="AP13" s="168"/>
      <c r="AQ13" s="168"/>
      <c r="AR13" s="168"/>
      <c r="AS13" s="168"/>
      <c r="AT13" s="168">
        <v>80000</v>
      </c>
      <c r="AU13" s="168">
        <v>2</v>
      </c>
      <c r="AV13" s="168"/>
      <c r="AW13" s="168"/>
      <c r="AX13" s="168"/>
      <c r="AY13" s="168"/>
      <c r="AZ13" s="168"/>
    </row>
    <row r="14" spans="1:52" s="166" customFormat="1">
      <c r="A14" s="173" t="s">
        <v>26</v>
      </c>
      <c r="B14" s="168" t="s">
        <v>959</v>
      </c>
      <c r="C14" s="168" t="s">
        <v>953</v>
      </c>
      <c r="D14" s="168" t="s">
        <v>965</v>
      </c>
      <c r="E14" s="167" t="s">
        <v>923</v>
      </c>
      <c r="F14" s="167" t="s">
        <v>29</v>
      </c>
      <c r="G14" s="167" t="s">
        <v>168</v>
      </c>
      <c r="H14" s="167">
        <v>2</v>
      </c>
      <c r="I14" s="167" t="s">
        <v>810</v>
      </c>
      <c r="J14" s="168">
        <v>20.181489127167069</v>
      </c>
      <c r="K14" s="168"/>
      <c r="L14" s="168">
        <v>822.5</v>
      </c>
      <c r="M14" s="168">
        <v>613.5</v>
      </c>
      <c r="N14" s="173"/>
      <c r="O14" s="168"/>
      <c r="P14" s="167">
        <v>5</v>
      </c>
      <c r="Q14" s="167" t="s">
        <v>966</v>
      </c>
      <c r="R14" s="173" t="s">
        <v>981</v>
      </c>
      <c r="S14" s="168" t="s">
        <v>933</v>
      </c>
      <c r="T14" s="173" t="s">
        <v>1025</v>
      </c>
      <c r="U14" s="168" t="s">
        <v>979</v>
      </c>
      <c r="V14" s="173" t="s">
        <v>986</v>
      </c>
      <c r="W14" s="173" t="s">
        <v>1112</v>
      </c>
      <c r="X14" s="168"/>
      <c r="Y14" s="168"/>
      <c r="Z14" s="168"/>
      <c r="AA14" s="168"/>
      <c r="AB14" s="168"/>
      <c r="AC14" s="168"/>
      <c r="AD14" s="168"/>
      <c r="AE14" s="168"/>
      <c r="AF14" s="168"/>
      <c r="AG14" s="168"/>
      <c r="AH14" s="168"/>
      <c r="AI14" s="168"/>
      <c r="AJ14" s="168"/>
      <c r="AK14" s="168"/>
      <c r="AL14" s="168"/>
      <c r="AM14" s="168"/>
      <c r="AN14" s="168"/>
      <c r="AO14" s="168"/>
      <c r="AP14" s="168"/>
      <c r="AQ14" s="168"/>
      <c r="AR14" s="168"/>
      <c r="AS14" s="168"/>
      <c r="AT14" s="168">
        <v>80000</v>
      </c>
      <c r="AU14" s="168">
        <v>4</v>
      </c>
      <c r="AV14" s="168"/>
      <c r="AW14" s="168"/>
      <c r="AX14" s="168"/>
      <c r="AY14" s="168"/>
      <c r="AZ14" s="168"/>
    </row>
    <row r="15" spans="1:52">
      <c r="A15" s="173"/>
      <c r="B15" s="31"/>
      <c r="C15" s="31"/>
      <c r="D15" s="29"/>
      <c r="E15" s="29"/>
      <c r="F15" s="173"/>
      <c r="G15" s="173"/>
      <c r="H15" s="173"/>
      <c r="I15" s="173"/>
      <c r="J15" s="173"/>
      <c r="K15" s="173"/>
      <c r="L15" s="173"/>
      <c r="M15" s="173"/>
      <c r="N15" s="173"/>
      <c r="O15" s="173"/>
      <c r="P15" s="173"/>
      <c r="Q15" s="173"/>
      <c r="R15" s="173"/>
      <c r="S15" s="173"/>
      <c r="T15" s="173"/>
      <c r="U15" s="170"/>
      <c r="V15" s="173"/>
      <c r="W15" s="173"/>
      <c r="X15" s="173"/>
      <c r="Y15" s="173"/>
      <c r="Z15" s="173"/>
      <c r="AA15" s="173"/>
      <c r="AB15" s="173"/>
      <c r="AC15" s="173"/>
      <c r="AD15" s="173"/>
      <c r="AE15" s="173"/>
      <c r="AF15" s="18"/>
      <c r="AG15" s="18"/>
      <c r="AH15" s="18"/>
      <c r="AI15" s="18"/>
      <c r="AJ15" s="18"/>
      <c r="AK15" s="18"/>
      <c r="AL15" s="173"/>
      <c r="AM15" s="173"/>
      <c r="AN15" s="18"/>
      <c r="AO15" s="18"/>
      <c r="AP15" s="18"/>
      <c r="AQ15" s="18"/>
      <c r="AR15" s="18"/>
      <c r="AS15" s="18"/>
      <c r="AT15" s="18"/>
      <c r="AU15" s="18"/>
      <c r="AV15" s="18"/>
      <c r="AW15" s="18"/>
      <c r="AX15" s="18"/>
      <c r="AY15" s="18"/>
      <c r="AZ15" s="173"/>
    </row>
    <row r="16" spans="1:52">
      <c r="S16" s="168"/>
    </row>
  </sheetData>
  <phoneticPr fontId="4"/>
  <conditionalFormatting sqref="A75:AZ65455 BA4:XFD14 A2:B3 AR2:IU3 F2 D2:E3 G2:P3 A4:A14 W2:AP2 N4:N14 BA16:XFD65455 X3:AP3 W3:W14">
    <cfRule type="expression" dxfId="341" priority="100" stopIfTrue="1">
      <formula>MOD(ROW(),2) = 1</formula>
    </cfRule>
  </conditionalFormatting>
  <conditionalFormatting sqref="F3">
    <cfRule type="expression" dxfId="340" priority="99" stopIfTrue="1">
      <formula>MOD(ROW(),2) = 1</formula>
    </cfRule>
  </conditionalFormatting>
  <conditionalFormatting sqref="C2:C3">
    <cfRule type="expression" dxfId="339" priority="97" stopIfTrue="1">
      <formula>MOD(ROW(),2) = 1</formula>
    </cfRule>
  </conditionalFormatting>
  <conditionalFormatting sqref="Q2:Q3">
    <cfRule type="expression" dxfId="338" priority="96" stopIfTrue="1">
      <formula>MOD(ROW(),2) = 1</formula>
    </cfRule>
  </conditionalFormatting>
  <conditionalFormatting sqref="E4">
    <cfRule type="expression" dxfId="337" priority="95" stopIfTrue="1">
      <formula>MOD(ROW(),2) = 1</formula>
    </cfRule>
  </conditionalFormatting>
  <conditionalFormatting sqref="E5">
    <cfRule type="expression" dxfId="336" priority="94" stopIfTrue="1">
      <formula>MOD(ROW(),2) = 1</formula>
    </cfRule>
  </conditionalFormatting>
  <conditionalFormatting sqref="E6">
    <cfRule type="expression" dxfId="335" priority="93" stopIfTrue="1">
      <formula>MOD(ROW(),2) = 1</formula>
    </cfRule>
  </conditionalFormatting>
  <conditionalFormatting sqref="E7">
    <cfRule type="expression" dxfId="334" priority="92" stopIfTrue="1">
      <formula>MOD(ROW(),2) = 1</formula>
    </cfRule>
  </conditionalFormatting>
  <conditionalFormatting sqref="E8">
    <cfRule type="expression" dxfId="333" priority="91" stopIfTrue="1">
      <formula>MOD(ROW(),2) = 1</formula>
    </cfRule>
  </conditionalFormatting>
  <conditionalFormatting sqref="E9">
    <cfRule type="expression" dxfId="332" priority="90" stopIfTrue="1">
      <formula>MOD(ROW(),2) = 1</formula>
    </cfRule>
  </conditionalFormatting>
  <conditionalFormatting sqref="E10">
    <cfRule type="expression" dxfId="331" priority="89" stopIfTrue="1">
      <formula>MOD(ROW(),2) = 1</formula>
    </cfRule>
  </conditionalFormatting>
  <conditionalFormatting sqref="E11">
    <cfRule type="expression" dxfId="330" priority="88" stopIfTrue="1">
      <formula>MOD(ROW(),2) = 1</formula>
    </cfRule>
  </conditionalFormatting>
  <conditionalFormatting sqref="E12">
    <cfRule type="expression" dxfId="329" priority="87" stopIfTrue="1">
      <formula>MOD(ROW(),2) = 1</formula>
    </cfRule>
  </conditionalFormatting>
  <conditionalFormatting sqref="E13">
    <cfRule type="expression" dxfId="328" priority="86" stopIfTrue="1">
      <formula>MOD(ROW(),2) = 1</formula>
    </cfRule>
  </conditionalFormatting>
  <conditionalFormatting sqref="E14">
    <cfRule type="expression" dxfId="327" priority="85" stopIfTrue="1">
      <formula>MOD(ROW(),2) = 1</formula>
    </cfRule>
  </conditionalFormatting>
  <conditionalFormatting sqref="B4">
    <cfRule type="expression" dxfId="326" priority="84" stopIfTrue="1">
      <formula>MOD(ROW(),2) = 1</formula>
    </cfRule>
  </conditionalFormatting>
  <conditionalFormatting sqref="D4">
    <cfRule type="expression" dxfId="325" priority="83" stopIfTrue="1">
      <formula>MOD(ROW(),2) = 1</formula>
    </cfRule>
  </conditionalFormatting>
  <conditionalFormatting sqref="G4:I4">
    <cfRule type="expression" dxfId="324" priority="82" stopIfTrue="1">
      <formula>MOD(ROW(),2) = 1</formula>
    </cfRule>
  </conditionalFormatting>
  <conditionalFormatting sqref="F4">
    <cfRule type="expression" dxfId="323" priority="81" stopIfTrue="1">
      <formula>MOD(ROW(),2) = 1</formula>
    </cfRule>
  </conditionalFormatting>
  <conditionalFormatting sqref="G5:I5">
    <cfRule type="expression" dxfId="322" priority="80" stopIfTrue="1">
      <formula>MOD(ROW(),2) = 1</formula>
    </cfRule>
  </conditionalFormatting>
  <conditionalFormatting sqref="F5">
    <cfRule type="expression" dxfId="321" priority="79" stopIfTrue="1">
      <formula>MOD(ROW(),2) = 1</formula>
    </cfRule>
  </conditionalFormatting>
  <conditionalFormatting sqref="G6:I6">
    <cfRule type="expression" dxfId="320" priority="78" stopIfTrue="1">
      <formula>MOD(ROW(),2) = 1</formula>
    </cfRule>
  </conditionalFormatting>
  <conditionalFormatting sqref="F6">
    <cfRule type="expression" dxfId="319" priority="77" stopIfTrue="1">
      <formula>MOD(ROW(),2) = 1</formula>
    </cfRule>
  </conditionalFormatting>
  <conditionalFormatting sqref="G7:I7">
    <cfRule type="expression" dxfId="318" priority="76" stopIfTrue="1">
      <formula>MOD(ROW(),2) = 1</formula>
    </cfRule>
  </conditionalFormatting>
  <conditionalFormatting sqref="F7">
    <cfRule type="expression" dxfId="317" priority="75" stopIfTrue="1">
      <formula>MOD(ROW(),2) = 1</formula>
    </cfRule>
  </conditionalFormatting>
  <conditionalFormatting sqref="G8:I8">
    <cfRule type="expression" dxfId="316" priority="74" stopIfTrue="1">
      <formula>MOD(ROW(),2) = 1</formula>
    </cfRule>
  </conditionalFormatting>
  <conditionalFormatting sqref="F8">
    <cfRule type="expression" dxfId="315" priority="73" stopIfTrue="1">
      <formula>MOD(ROW(),2) = 1</formula>
    </cfRule>
  </conditionalFormatting>
  <conditionalFormatting sqref="G9:I9">
    <cfRule type="expression" dxfId="314" priority="72" stopIfTrue="1">
      <formula>MOD(ROW(),2) = 1</formula>
    </cfRule>
  </conditionalFormatting>
  <conditionalFormatting sqref="F9">
    <cfRule type="expression" dxfId="313" priority="71" stopIfTrue="1">
      <formula>MOD(ROW(),2) = 1</formula>
    </cfRule>
  </conditionalFormatting>
  <conditionalFormatting sqref="G10:I10">
    <cfRule type="expression" dxfId="312" priority="70" stopIfTrue="1">
      <formula>MOD(ROW(),2) = 1</formula>
    </cfRule>
  </conditionalFormatting>
  <conditionalFormatting sqref="F10">
    <cfRule type="expression" dxfId="311" priority="69" stopIfTrue="1">
      <formula>MOD(ROW(),2) = 1</formula>
    </cfRule>
  </conditionalFormatting>
  <conditionalFormatting sqref="G11:I11">
    <cfRule type="expression" dxfId="310" priority="68" stopIfTrue="1">
      <formula>MOD(ROW(),2) = 1</formula>
    </cfRule>
  </conditionalFormatting>
  <conditionalFormatting sqref="F11">
    <cfRule type="expression" dxfId="309" priority="67" stopIfTrue="1">
      <formula>MOD(ROW(),2) = 1</formula>
    </cfRule>
  </conditionalFormatting>
  <conditionalFormatting sqref="G12:I12">
    <cfRule type="expression" dxfId="308" priority="66" stopIfTrue="1">
      <formula>MOD(ROW(),2) = 1</formula>
    </cfRule>
  </conditionalFormatting>
  <conditionalFormatting sqref="F12">
    <cfRule type="expression" dxfId="307" priority="65" stopIfTrue="1">
      <formula>MOD(ROW(),2) = 1</formula>
    </cfRule>
  </conditionalFormatting>
  <conditionalFormatting sqref="G13:I13">
    <cfRule type="expression" dxfId="306" priority="64" stopIfTrue="1">
      <formula>MOD(ROW(),2) = 1</formula>
    </cfRule>
  </conditionalFormatting>
  <conditionalFormatting sqref="F13">
    <cfRule type="expression" dxfId="305" priority="63" stopIfTrue="1">
      <formula>MOD(ROW(),2) = 1</formula>
    </cfRule>
  </conditionalFormatting>
  <conditionalFormatting sqref="G14:I14">
    <cfRule type="expression" dxfId="304" priority="62" stopIfTrue="1">
      <formula>MOD(ROW(),2) = 1</formula>
    </cfRule>
  </conditionalFormatting>
  <conditionalFormatting sqref="F14">
    <cfRule type="expression" dxfId="303" priority="61" stopIfTrue="1">
      <formula>MOD(ROW(),2) = 1</formula>
    </cfRule>
  </conditionalFormatting>
  <conditionalFormatting sqref="P4">
    <cfRule type="expression" dxfId="302" priority="60" stopIfTrue="1">
      <formula>MOD(ROW(),2) = 1</formula>
    </cfRule>
  </conditionalFormatting>
  <conditionalFormatting sqref="Q4">
    <cfRule type="expression" dxfId="301" priority="59" stopIfTrue="1">
      <formula>MOD(ROW(),2) = 1</formula>
    </cfRule>
  </conditionalFormatting>
  <conditionalFormatting sqref="P5">
    <cfRule type="expression" dxfId="300" priority="58" stopIfTrue="1">
      <formula>MOD(ROW(),2) = 1</formula>
    </cfRule>
  </conditionalFormatting>
  <conditionalFormatting sqref="Q5">
    <cfRule type="expression" dxfId="299" priority="57" stopIfTrue="1">
      <formula>MOD(ROW(),2) = 1</formula>
    </cfRule>
  </conditionalFormatting>
  <conditionalFormatting sqref="P6">
    <cfRule type="expression" dxfId="298" priority="56" stopIfTrue="1">
      <formula>MOD(ROW(),2) = 1</formula>
    </cfRule>
  </conditionalFormatting>
  <conditionalFormatting sqref="Q6">
    <cfRule type="expression" dxfId="297" priority="55" stopIfTrue="1">
      <formula>MOD(ROW(),2) = 1</formula>
    </cfRule>
  </conditionalFormatting>
  <conditionalFormatting sqref="P7">
    <cfRule type="expression" dxfId="296" priority="54" stopIfTrue="1">
      <formula>MOD(ROW(),2) = 1</formula>
    </cfRule>
  </conditionalFormatting>
  <conditionalFormatting sqref="Q7">
    <cfRule type="expression" dxfId="295" priority="53" stopIfTrue="1">
      <formula>MOD(ROW(),2) = 1</formula>
    </cfRule>
  </conditionalFormatting>
  <conditionalFormatting sqref="P8">
    <cfRule type="expression" dxfId="294" priority="52" stopIfTrue="1">
      <formula>MOD(ROW(),2) = 1</formula>
    </cfRule>
  </conditionalFormatting>
  <conditionalFormatting sqref="Q8">
    <cfRule type="expression" dxfId="293" priority="51" stopIfTrue="1">
      <formula>MOD(ROW(),2) = 1</formula>
    </cfRule>
  </conditionalFormatting>
  <conditionalFormatting sqref="P9">
    <cfRule type="expression" dxfId="292" priority="50" stopIfTrue="1">
      <formula>MOD(ROW(),2) = 1</formula>
    </cfRule>
  </conditionalFormatting>
  <conditionalFormatting sqref="Q9">
    <cfRule type="expression" dxfId="291" priority="49" stopIfTrue="1">
      <formula>MOD(ROW(),2) = 1</formula>
    </cfRule>
  </conditionalFormatting>
  <conditionalFormatting sqref="P10">
    <cfRule type="expression" dxfId="290" priority="48" stopIfTrue="1">
      <formula>MOD(ROW(),2) = 1</formula>
    </cfRule>
  </conditionalFormatting>
  <conditionalFormatting sqref="Q10">
    <cfRule type="expression" dxfId="289" priority="47" stopIfTrue="1">
      <formula>MOD(ROW(),2) = 1</formula>
    </cfRule>
  </conditionalFormatting>
  <conditionalFormatting sqref="P11">
    <cfRule type="expression" dxfId="288" priority="46" stopIfTrue="1">
      <formula>MOD(ROW(),2) = 1</formula>
    </cfRule>
  </conditionalFormatting>
  <conditionalFormatting sqref="P12">
    <cfRule type="expression" dxfId="287" priority="45" stopIfTrue="1">
      <formula>MOD(ROW(),2) = 1</formula>
    </cfRule>
  </conditionalFormatting>
  <conditionalFormatting sqref="P13">
    <cfRule type="expression" dxfId="286" priority="44" stopIfTrue="1">
      <formula>MOD(ROW(),2) = 1</formula>
    </cfRule>
  </conditionalFormatting>
  <conditionalFormatting sqref="P14">
    <cfRule type="expression" dxfId="285" priority="43" stopIfTrue="1">
      <formula>MOD(ROW(),2) = 1</formula>
    </cfRule>
  </conditionalFormatting>
  <conditionalFormatting sqref="S2">
    <cfRule type="expression" dxfId="284" priority="42" stopIfTrue="1">
      <formula>MOD(ROW(),2) = 1</formula>
    </cfRule>
  </conditionalFormatting>
  <conditionalFormatting sqref="S5">
    <cfRule type="expression" dxfId="283" priority="41" stopIfTrue="1">
      <formula>MOD(ROW(),2) = 1</formula>
    </cfRule>
  </conditionalFormatting>
  <conditionalFormatting sqref="C4">
    <cfRule type="expression" dxfId="282" priority="40" stopIfTrue="1">
      <formula>MOD(ROW(),2) = 1</formula>
    </cfRule>
  </conditionalFormatting>
  <conditionalFormatting sqref="S2">
    <cfRule type="expression" dxfId="281" priority="39" stopIfTrue="1">
      <formula>MOD(ROW(),2) = 1</formula>
    </cfRule>
  </conditionalFormatting>
  <conditionalFormatting sqref="Q11">
    <cfRule type="expression" dxfId="280" priority="38" stopIfTrue="1">
      <formula>MOD(ROW(),2) = 1</formula>
    </cfRule>
  </conditionalFormatting>
  <conditionalFormatting sqref="Q12">
    <cfRule type="expression" dxfId="279" priority="37" stopIfTrue="1">
      <formula>MOD(ROW(),2) = 1</formula>
    </cfRule>
  </conditionalFormatting>
  <conditionalFormatting sqref="Q13">
    <cfRule type="expression" dxfId="278" priority="36" stopIfTrue="1">
      <formula>MOD(ROW(),2) = 1</formula>
    </cfRule>
  </conditionalFormatting>
  <conditionalFormatting sqref="Q14">
    <cfRule type="expression" dxfId="277" priority="35" stopIfTrue="1">
      <formula>MOD(ROW(),2) = 1</formula>
    </cfRule>
  </conditionalFormatting>
  <conditionalFormatting sqref="T2:T14">
    <cfRule type="expression" dxfId="276" priority="34" stopIfTrue="1">
      <formula>MOD(ROW(),2) = 1</formula>
    </cfRule>
  </conditionalFormatting>
  <conditionalFormatting sqref="R2:R14">
    <cfRule type="expression" dxfId="275" priority="33" stopIfTrue="1">
      <formula>MOD(ROW(),2) = 1</formula>
    </cfRule>
  </conditionalFormatting>
  <conditionalFormatting sqref="U2:U3">
    <cfRule type="expression" dxfId="274" priority="32" stopIfTrue="1">
      <formula>MOD(ROW(),2) = 1</formula>
    </cfRule>
  </conditionalFormatting>
  <conditionalFormatting sqref="U4">
    <cfRule type="expression" dxfId="273" priority="31" stopIfTrue="1">
      <formula>MOD(ROW(),2) = 1</formula>
    </cfRule>
  </conditionalFormatting>
  <conditionalFormatting sqref="V2:V14">
    <cfRule type="expression" dxfId="272" priority="20" stopIfTrue="1">
      <formula>MOD(ROW(),2) = 1</formula>
    </cfRule>
  </conditionalFormatting>
  <conditionalFormatting sqref="A15">
    <cfRule type="expression" dxfId="271" priority="9" stopIfTrue="1">
      <formula>MOD(ROW(),2) = 1</formula>
    </cfRule>
  </conditionalFormatting>
  <conditionalFormatting sqref="B15:C15 E15:H15">
    <cfRule type="expression" dxfId="270" priority="8" stopIfTrue="1">
      <formula>MOD(ROW(),2) = 1</formula>
    </cfRule>
  </conditionalFormatting>
  <conditionalFormatting sqref="D15">
    <cfRule type="expression" dxfId="269" priority="7" stopIfTrue="1">
      <formula>MOD(ROW(),2) = 1</formula>
    </cfRule>
  </conditionalFormatting>
  <conditionalFormatting sqref="K15">
    <cfRule type="expression" dxfId="268" priority="6" stopIfTrue="1">
      <formula>MOD(ROW(),2) = 1</formula>
    </cfRule>
  </conditionalFormatting>
  <conditionalFormatting sqref="I15">
    <cfRule type="expression" dxfId="267" priority="5" stopIfTrue="1">
      <formula>MOD(ROW(),2) = 1</formula>
    </cfRule>
  </conditionalFormatting>
  <conditionalFormatting sqref="V15">
    <cfRule type="expression" dxfId="266" priority="4" stopIfTrue="1">
      <formula>MOD(ROW(),2) = 1</formula>
    </cfRule>
  </conditionalFormatting>
  <conditionalFormatting sqref="AL15">
    <cfRule type="expression" dxfId="265" priority="3" stopIfTrue="1">
      <formula>MOD(ROW(),2) = 1</formula>
    </cfRule>
  </conditionalFormatting>
  <conditionalFormatting sqref="AM15">
    <cfRule type="expression" dxfId="264" priority="2" stopIfTrue="1">
      <formula>MOD(ROW(),2) = 1</formula>
    </cfRule>
  </conditionalFormatting>
  <conditionalFormatting sqref="BA1:IU1">
    <cfRule type="expression" dxfId="263" priority="1" stopIfTrue="1">
      <formula>MOD(ROW(),2) = 1</formula>
    </cfRule>
  </conditionalFormatting>
  <conditionalFormatting sqref="AJ15:AK15 J15 L15:T15 W15:AH15 AN15:IU15">
    <cfRule type="expression" dxfId="262" priority="10" stopIfTrue="1">
      <formula>MOD(ROW(),2) = 1</formula>
    </cfRule>
  </conditionalFormatting>
  <pageMargins left="0.39370078740157483" right="0.39370078740157483" top="0.39370078740157483" bottom="0.39370078740157483" header="0.51181102362204722" footer="0.51181102362204722"/>
  <pageSetup paperSize="9" scale="17" fitToHeight="0" orientation="landscape"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Coloring">
                <anchor moveWithCells="1" sizeWithCells="1">
                  <from>
                    <xdr:col>1</xdr:col>
                    <xdr:colOff>260350</xdr:colOff>
                    <xdr:row>0</xdr:row>
                    <xdr:rowOff>31750</xdr:rowOff>
                  </from>
                  <to>
                    <xdr:col>1</xdr:col>
                    <xdr:colOff>984250</xdr:colOff>
                    <xdr:row>0</xdr:row>
                    <xdr:rowOff>228600</xdr:rowOff>
                  </to>
                </anchor>
              </controlPr>
            </control>
          </mc:Choice>
        </mc:AlternateContent>
        <mc:AlternateContent xmlns:mc="http://schemas.openxmlformats.org/markup-compatibility/2006">
          <mc:Choice Requires="x14">
            <control shapeId="70658" r:id="rId5" name="Button 2">
              <controlPr defaultSize="0" print="0" autoFill="0" autoPict="0" macro="[0]!Coloring">
                <anchor moveWithCells="1" sizeWithCells="1">
                  <from>
                    <xdr:col>1</xdr:col>
                    <xdr:colOff>1035050</xdr:colOff>
                    <xdr:row>0</xdr:row>
                    <xdr:rowOff>31750</xdr:rowOff>
                  </from>
                  <to>
                    <xdr:col>2</xdr:col>
                    <xdr:colOff>717550</xdr:colOff>
                    <xdr:row>0</xdr:row>
                    <xdr:rowOff>292100</xdr:rowOff>
                  </to>
                </anchor>
              </controlPr>
            </control>
          </mc:Choice>
        </mc:AlternateContent>
        <mc:AlternateContent xmlns:mc="http://schemas.openxmlformats.org/markup-compatibility/2006">
          <mc:Choice Requires="x14">
            <control shapeId="70659" r:id="rId6" name="Button 3">
              <controlPr defaultSize="0" print="0" autoFill="0" autoPict="0" macro="[0]!WRITE_CSVFile3">
                <anchor moveWithCells="1" sizeWithCells="1">
                  <from>
                    <xdr:col>1</xdr:col>
                    <xdr:colOff>76200</xdr:colOff>
                    <xdr:row>0</xdr:row>
                    <xdr:rowOff>31750</xdr:rowOff>
                  </from>
                  <to>
                    <xdr:col>1</xdr:col>
                    <xdr:colOff>1016000</xdr:colOff>
                    <xdr:row>0</xdr:row>
                    <xdr:rowOff>292100</xdr:rowOff>
                  </to>
                </anchor>
              </controlPr>
            </control>
          </mc:Choice>
        </mc:AlternateContent>
        <mc:AlternateContent xmlns:mc="http://schemas.openxmlformats.org/markup-compatibility/2006">
          <mc:Choice Requires="x14">
            <control shapeId="70687" r:id="rId7" name="Button 31">
              <controlPr defaultSize="0" print="0" autoFill="0" autoPict="0" macro="[0]!Coloring">
                <anchor moveWithCells="1" sizeWithCells="1">
                  <from>
                    <xdr:col>1</xdr:col>
                    <xdr:colOff>260350</xdr:colOff>
                    <xdr:row>0</xdr:row>
                    <xdr:rowOff>31750</xdr:rowOff>
                  </from>
                  <to>
                    <xdr:col>1</xdr:col>
                    <xdr:colOff>984250</xdr:colOff>
                    <xdr:row>0</xdr:row>
                    <xdr:rowOff>228600</xdr:rowOff>
                  </to>
                </anchor>
              </controlPr>
            </control>
          </mc:Choice>
        </mc:AlternateContent>
        <mc:AlternateContent xmlns:mc="http://schemas.openxmlformats.org/markup-compatibility/2006">
          <mc:Choice Requires="x14">
            <control shapeId="70688" r:id="rId8" name="Button 32">
              <controlPr defaultSize="0" print="0" autoFill="0" autoPict="0" macro="[0]!Coloring">
                <anchor moveWithCells="1" sizeWithCells="1">
                  <from>
                    <xdr:col>1</xdr:col>
                    <xdr:colOff>1035050</xdr:colOff>
                    <xdr:row>0</xdr:row>
                    <xdr:rowOff>31750</xdr:rowOff>
                  </from>
                  <to>
                    <xdr:col>2</xdr:col>
                    <xdr:colOff>717550</xdr:colOff>
                    <xdr:row>0</xdr:row>
                    <xdr:rowOff>292100</xdr:rowOff>
                  </to>
                </anchor>
              </controlPr>
            </control>
          </mc:Choice>
        </mc:AlternateContent>
        <mc:AlternateContent xmlns:mc="http://schemas.openxmlformats.org/markup-compatibility/2006">
          <mc:Choice Requires="x14">
            <control shapeId="70689" r:id="rId9" name="Button 33">
              <controlPr defaultSize="0" print="0" autoFill="0" autoPict="0" macro="[0]!WRITE_CSVFile3">
                <anchor moveWithCells="1" sizeWithCells="1">
                  <from>
                    <xdr:col>1</xdr:col>
                    <xdr:colOff>76200</xdr:colOff>
                    <xdr:row>0</xdr:row>
                    <xdr:rowOff>31750</xdr:rowOff>
                  </from>
                  <to>
                    <xdr:col>1</xdr:col>
                    <xdr:colOff>1016000</xdr:colOff>
                    <xdr:row>0</xdr:row>
                    <xdr:rowOff>292100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B5"/>
  <sheetViews>
    <sheetView zoomScale="130" zoomScaleNormal="130" workbookViewId="0">
      <selection activeCell="G14" sqref="G14"/>
    </sheetView>
  </sheetViews>
  <sheetFormatPr defaultRowHeight="11"/>
  <cols>
    <col min="1" max="1" width="13" customWidth="1"/>
  </cols>
  <sheetData>
    <row r="1" spans="1:2">
      <c r="A1" t="s">
        <v>1117</v>
      </c>
      <c r="B1" t="s">
        <v>1118</v>
      </c>
    </row>
    <row r="2" spans="1:2">
      <c r="A2" t="s">
        <v>1051</v>
      </c>
      <c r="B2" t="s">
        <v>1073</v>
      </c>
    </row>
    <row r="3" spans="1:2">
      <c r="A3" t="s">
        <v>1058</v>
      </c>
      <c r="B3" t="s">
        <v>1074</v>
      </c>
    </row>
    <row r="4" spans="1:2">
      <c r="A4" t="s">
        <v>1060</v>
      </c>
      <c r="B4" t="s">
        <v>1075</v>
      </c>
    </row>
    <row r="5" spans="1:2">
      <c r="A5" t="s">
        <v>1061</v>
      </c>
      <c r="B5" t="s">
        <v>1076</v>
      </c>
    </row>
  </sheetData>
  <phoneticPr fontId="4"/>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2225" r:id="rId3" name="Button 1">
              <controlPr defaultSize="0" print="0" autoFill="0" autoPict="0" macro="[0]!WRITE_CSVFile3">
                <anchor moveWithCells="1" sizeWithCells="1">
                  <from>
                    <xdr:col>4</xdr:col>
                    <xdr:colOff>101600</xdr:colOff>
                    <xdr:row>7</xdr:row>
                    <xdr:rowOff>31750</xdr:rowOff>
                  </from>
                  <to>
                    <xdr:col>6</xdr:col>
                    <xdr:colOff>25400</xdr:colOff>
                    <xdr:row>9</xdr:row>
                    <xdr:rowOff>12700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E338"/>
  <sheetViews>
    <sheetView topLeftCell="B296" zoomScale="190" zoomScaleNormal="190" workbookViewId="0">
      <selection activeCell="D303" sqref="D303"/>
    </sheetView>
  </sheetViews>
  <sheetFormatPr defaultColWidth="9.33203125" defaultRowHeight="13"/>
  <cols>
    <col min="1" max="1" width="15.6640625" style="131" customWidth="1"/>
    <col min="2" max="2" width="4" style="131" customWidth="1"/>
    <col min="3" max="3" width="21.109375" style="131" customWidth="1"/>
    <col min="4" max="4" width="80.109375" style="131" customWidth="1"/>
    <col min="5" max="16384" width="9.33203125" style="145"/>
  </cols>
  <sheetData>
    <row r="1" spans="1:5">
      <c r="A1" s="131" t="s">
        <v>509</v>
      </c>
      <c r="B1" s="131" t="s">
        <v>684</v>
      </c>
      <c r="C1" s="131" t="s">
        <v>338</v>
      </c>
      <c r="D1" s="131" t="s">
        <v>510</v>
      </c>
      <c r="E1" s="145" t="s">
        <v>683</v>
      </c>
    </row>
    <row r="2" spans="1:5">
      <c r="A2" s="132">
        <v>41134</v>
      </c>
      <c r="B2" s="132"/>
      <c r="C2" s="146" t="s">
        <v>203</v>
      </c>
      <c r="D2" s="131" t="s">
        <v>552</v>
      </c>
      <c r="E2" s="145" t="s">
        <v>553</v>
      </c>
    </row>
    <row r="3" spans="1:5">
      <c r="A3" s="132">
        <v>41456</v>
      </c>
      <c r="B3" s="132"/>
      <c r="C3" s="131" t="s">
        <v>555</v>
      </c>
      <c r="D3" s="131" t="s">
        <v>556</v>
      </c>
    </row>
    <row r="4" spans="1:5">
      <c r="A4" s="132">
        <v>41487</v>
      </c>
      <c r="B4" s="132"/>
      <c r="C4" s="146" t="s">
        <v>198</v>
      </c>
      <c r="D4" s="131" t="s">
        <v>530</v>
      </c>
    </row>
    <row r="5" spans="1:5">
      <c r="A5" s="132">
        <v>41487</v>
      </c>
      <c r="B5" s="132"/>
      <c r="C5" s="146" t="s">
        <v>199</v>
      </c>
      <c r="D5" s="131" t="s">
        <v>530</v>
      </c>
    </row>
    <row r="6" spans="1:5">
      <c r="A6" s="132">
        <v>41487</v>
      </c>
      <c r="B6" s="132"/>
      <c r="C6" s="146" t="s">
        <v>200</v>
      </c>
      <c r="D6" s="131" t="s">
        <v>530</v>
      </c>
    </row>
    <row r="7" spans="1:5">
      <c r="A7" s="132">
        <v>41487</v>
      </c>
      <c r="B7" s="132"/>
      <c r="C7" s="146" t="s">
        <v>198</v>
      </c>
      <c r="D7" s="131" t="s">
        <v>554</v>
      </c>
    </row>
    <row r="8" spans="1:5">
      <c r="A8" s="132">
        <v>41487</v>
      </c>
      <c r="B8" s="132"/>
      <c r="C8" s="146" t="s">
        <v>199</v>
      </c>
      <c r="D8" s="131" t="s">
        <v>554</v>
      </c>
    </row>
    <row r="9" spans="1:5">
      <c r="A9" s="132">
        <v>41487</v>
      </c>
      <c r="B9" s="132"/>
      <c r="C9" s="146" t="s">
        <v>200</v>
      </c>
      <c r="D9" s="131" t="s">
        <v>554</v>
      </c>
    </row>
    <row r="10" spans="1:5" ht="26">
      <c r="A10" s="132">
        <v>41494</v>
      </c>
      <c r="B10" s="132"/>
      <c r="C10" s="131" t="s">
        <v>555</v>
      </c>
      <c r="D10" s="133" t="s">
        <v>558</v>
      </c>
    </row>
    <row r="11" spans="1:5">
      <c r="A11" s="132">
        <v>41513</v>
      </c>
      <c r="B11" s="132"/>
      <c r="C11" s="131" t="s">
        <v>555</v>
      </c>
      <c r="D11" s="131" t="s">
        <v>557</v>
      </c>
    </row>
    <row r="12" spans="1:5" ht="39">
      <c r="A12" s="132">
        <v>41515</v>
      </c>
      <c r="B12" s="132"/>
      <c r="C12" s="131" t="s">
        <v>555</v>
      </c>
      <c r="D12" s="133" t="s">
        <v>559</v>
      </c>
    </row>
    <row r="13" spans="1:5" ht="39">
      <c r="A13" s="132">
        <v>41609</v>
      </c>
      <c r="B13" s="132"/>
      <c r="C13" s="146" t="s">
        <v>230</v>
      </c>
      <c r="D13" s="133" t="s">
        <v>640</v>
      </c>
    </row>
    <row r="14" spans="1:5">
      <c r="A14" s="132">
        <v>41640</v>
      </c>
      <c r="B14" s="132"/>
      <c r="C14" s="131" t="s">
        <v>561</v>
      </c>
      <c r="D14" s="133" t="s">
        <v>562</v>
      </c>
    </row>
    <row r="15" spans="1:5" ht="52">
      <c r="A15" s="132">
        <v>41640</v>
      </c>
      <c r="B15" s="132"/>
      <c r="C15" s="131" t="s">
        <v>603</v>
      </c>
      <c r="D15" s="133" t="s">
        <v>633</v>
      </c>
      <c r="E15" s="145" t="s">
        <v>553</v>
      </c>
    </row>
    <row r="16" spans="1:5" ht="26">
      <c r="A16" s="132">
        <v>41640</v>
      </c>
      <c r="B16" s="132"/>
      <c r="D16" s="133" t="s">
        <v>563</v>
      </c>
    </row>
    <row r="17" spans="1:5">
      <c r="A17" s="132">
        <v>41640</v>
      </c>
      <c r="B17" s="132"/>
      <c r="C17" s="131" t="s">
        <v>565</v>
      </c>
      <c r="D17" s="131" t="s">
        <v>566</v>
      </c>
    </row>
    <row r="18" spans="1:5">
      <c r="A18" s="132">
        <v>41685</v>
      </c>
      <c r="B18" s="132"/>
      <c r="C18" s="146" t="s">
        <v>214</v>
      </c>
      <c r="D18" s="131" t="s">
        <v>567</v>
      </c>
      <c r="E18" s="145" t="s">
        <v>553</v>
      </c>
    </row>
    <row r="19" spans="1:5">
      <c r="A19" s="132">
        <v>41685</v>
      </c>
      <c r="B19" s="132"/>
      <c r="C19" s="146" t="s">
        <v>215</v>
      </c>
      <c r="D19" s="131" t="s">
        <v>568</v>
      </c>
      <c r="E19" s="145" t="s">
        <v>553</v>
      </c>
    </row>
    <row r="20" spans="1:5">
      <c r="A20" s="132">
        <v>41685</v>
      </c>
      <c r="B20" s="132"/>
      <c r="C20" s="146" t="s">
        <v>217</v>
      </c>
      <c r="D20" s="131" t="s">
        <v>569</v>
      </c>
      <c r="E20" s="145" t="s">
        <v>553</v>
      </c>
    </row>
    <row r="21" spans="1:5">
      <c r="A21" s="132">
        <v>41685</v>
      </c>
      <c r="B21" s="132"/>
      <c r="C21" s="146" t="s">
        <v>218</v>
      </c>
      <c r="D21" s="131" t="s">
        <v>570</v>
      </c>
      <c r="E21" s="145" t="s">
        <v>553</v>
      </c>
    </row>
    <row r="22" spans="1:5">
      <c r="A22" s="132">
        <v>41687</v>
      </c>
      <c r="B22" s="132"/>
      <c r="D22" s="131" t="s">
        <v>173</v>
      </c>
    </row>
    <row r="23" spans="1:5" ht="117">
      <c r="A23" s="132">
        <v>41700</v>
      </c>
      <c r="B23" s="132"/>
      <c r="C23" s="146" t="s">
        <v>230</v>
      </c>
      <c r="D23" s="133" t="s">
        <v>630</v>
      </c>
    </row>
    <row r="24" spans="1:5">
      <c r="A24" s="132">
        <v>41726</v>
      </c>
      <c r="B24" s="132"/>
      <c r="D24" s="147" t="s">
        <v>631</v>
      </c>
    </row>
    <row r="25" spans="1:5">
      <c r="A25" s="132">
        <v>41740</v>
      </c>
      <c r="B25" s="132"/>
      <c r="C25" s="131" t="s">
        <v>628</v>
      </c>
      <c r="D25" s="131" t="s">
        <v>632</v>
      </c>
    </row>
    <row r="26" spans="1:5" ht="286">
      <c r="A26" s="132">
        <v>41753</v>
      </c>
      <c r="B26" s="132"/>
      <c r="C26" s="131" t="s">
        <v>628</v>
      </c>
      <c r="D26" s="133" t="s">
        <v>629</v>
      </c>
    </row>
    <row r="27" spans="1:5" ht="247">
      <c r="A27" s="132">
        <v>41784</v>
      </c>
      <c r="B27" s="132"/>
      <c r="C27" s="131" t="s">
        <v>628</v>
      </c>
      <c r="D27" s="133" t="s">
        <v>634</v>
      </c>
    </row>
    <row r="28" spans="1:5" ht="26">
      <c r="A28" s="132">
        <v>41834</v>
      </c>
      <c r="B28" s="132"/>
      <c r="C28" s="131" t="s">
        <v>571</v>
      </c>
      <c r="D28" s="133" t="s">
        <v>635</v>
      </c>
    </row>
    <row r="29" spans="1:5">
      <c r="A29" s="132">
        <v>41844</v>
      </c>
      <c r="B29" s="132"/>
      <c r="D29" s="131" t="s">
        <v>546</v>
      </c>
    </row>
    <row r="30" spans="1:5" ht="65">
      <c r="A30" s="132">
        <v>41848</v>
      </c>
      <c r="B30" s="132"/>
      <c r="C30" s="131" t="s">
        <v>571</v>
      </c>
      <c r="D30" s="133" t="s">
        <v>636</v>
      </c>
    </row>
    <row r="31" spans="1:5">
      <c r="A31" s="132">
        <v>41852</v>
      </c>
      <c r="B31" s="132"/>
      <c r="C31" s="134" t="s">
        <v>202</v>
      </c>
      <c r="D31" s="133" t="s">
        <v>514</v>
      </c>
    </row>
    <row r="32" spans="1:5">
      <c r="A32" s="132">
        <v>41852</v>
      </c>
      <c r="B32" s="132"/>
      <c r="C32" s="134" t="s">
        <v>203</v>
      </c>
      <c r="D32" s="133" t="s">
        <v>514</v>
      </c>
    </row>
    <row r="33" spans="1:4">
      <c r="A33" s="132">
        <v>41852</v>
      </c>
      <c r="B33" s="132"/>
      <c r="C33" s="134" t="s">
        <v>208</v>
      </c>
      <c r="D33" s="133" t="s">
        <v>514</v>
      </c>
    </row>
    <row r="34" spans="1:4">
      <c r="A34" s="132">
        <v>41855</v>
      </c>
      <c r="B34" s="132"/>
      <c r="C34" s="146" t="s">
        <v>550</v>
      </c>
      <c r="D34" s="131" t="s">
        <v>572</v>
      </c>
    </row>
    <row r="35" spans="1:4">
      <c r="A35" s="132">
        <v>41855</v>
      </c>
      <c r="B35" s="132"/>
      <c r="C35" s="146" t="s">
        <v>311</v>
      </c>
      <c r="D35" s="131" t="s">
        <v>573</v>
      </c>
    </row>
    <row r="36" spans="1:4">
      <c r="A36" s="132">
        <v>41855</v>
      </c>
      <c r="B36" s="132"/>
      <c r="C36" s="146" t="s">
        <v>312</v>
      </c>
      <c r="D36" s="131" t="s">
        <v>572</v>
      </c>
    </row>
    <row r="37" spans="1:4">
      <c r="A37" s="132">
        <v>41855</v>
      </c>
      <c r="B37" s="132"/>
      <c r="C37" s="146" t="s">
        <v>313</v>
      </c>
      <c r="D37" s="131" t="s">
        <v>573</v>
      </c>
    </row>
    <row r="38" spans="1:4" ht="39">
      <c r="A38" s="132">
        <v>41855</v>
      </c>
      <c r="B38" s="132"/>
      <c r="C38" s="146" t="s">
        <v>314</v>
      </c>
      <c r="D38" s="133" t="s">
        <v>574</v>
      </c>
    </row>
    <row r="39" spans="1:4">
      <c r="A39" s="132">
        <v>41866</v>
      </c>
      <c r="B39" s="132"/>
      <c r="C39" s="131" t="s">
        <v>575</v>
      </c>
      <c r="D39" s="131" t="s">
        <v>577</v>
      </c>
    </row>
    <row r="40" spans="1:4">
      <c r="A40" s="132">
        <v>41866</v>
      </c>
      <c r="B40" s="132"/>
      <c r="C40" s="131" t="s">
        <v>576</v>
      </c>
      <c r="D40" s="131" t="s">
        <v>577</v>
      </c>
    </row>
    <row r="41" spans="1:4">
      <c r="A41" s="132">
        <v>41922</v>
      </c>
      <c r="B41" s="132"/>
      <c r="C41" s="146" t="s">
        <v>210</v>
      </c>
      <c r="D41" s="131" t="s">
        <v>531</v>
      </c>
    </row>
    <row r="42" spans="1:4">
      <c r="A42" s="132">
        <v>41922</v>
      </c>
      <c r="B42" s="132"/>
      <c r="C42" s="146" t="s">
        <v>299</v>
      </c>
      <c r="D42" s="131" t="s">
        <v>531</v>
      </c>
    </row>
    <row r="43" spans="1:4">
      <c r="A43" s="132">
        <v>41922</v>
      </c>
      <c r="B43" s="132"/>
      <c r="C43" s="146" t="s">
        <v>300</v>
      </c>
      <c r="D43" s="131" t="s">
        <v>531</v>
      </c>
    </row>
    <row r="44" spans="1:4">
      <c r="A44" s="132">
        <v>41922</v>
      </c>
      <c r="B44" s="132"/>
      <c r="C44" s="146" t="s">
        <v>301</v>
      </c>
      <c r="D44" s="131" t="s">
        <v>531</v>
      </c>
    </row>
    <row r="45" spans="1:4">
      <c r="A45" s="132">
        <v>41922</v>
      </c>
      <c r="B45" s="132"/>
      <c r="C45" s="146" t="s">
        <v>545</v>
      </c>
      <c r="D45" s="131" t="s">
        <v>531</v>
      </c>
    </row>
    <row r="46" spans="1:4">
      <c r="A46" s="132">
        <v>41922</v>
      </c>
      <c r="B46" s="132"/>
      <c r="C46" s="146" t="s">
        <v>297</v>
      </c>
      <c r="D46" s="131" t="s">
        <v>531</v>
      </c>
    </row>
    <row r="47" spans="1:4">
      <c r="A47" s="132">
        <v>41922</v>
      </c>
      <c r="B47" s="132"/>
      <c r="C47" s="146" t="s">
        <v>289</v>
      </c>
      <c r="D47" s="131" t="s">
        <v>531</v>
      </c>
    </row>
    <row r="48" spans="1:4">
      <c r="A48" s="132">
        <v>41922</v>
      </c>
      <c r="B48" s="132"/>
      <c r="C48" s="146" t="s">
        <v>290</v>
      </c>
      <c r="D48" s="131" t="s">
        <v>531</v>
      </c>
    </row>
    <row r="49" spans="1:5">
      <c r="A49" s="132">
        <v>41922</v>
      </c>
      <c r="B49" s="132"/>
      <c r="C49" s="146" t="s">
        <v>202</v>
      </c>
      <c r="D49" s="131" t="s">
        <v>531</v>
      </c>
    </row>
    <row r="50" spans="1:5">
      <c r="A50" s="132">
        <v>41922</v>
      </c>
      <c r="B50" s="132"/>
      <c r="C50" s="146" t="s">
        <v>203</v>
      </c>
      <c r="D50" s="131" t="s">
        <v>531</v>
      </c>
    </row>
    <row r="51" spans="1:5">
      <c r="A51" s="132">
        <v>41922</v>
      </c>
      <c r="B51" s="132"/>
      <c r="C51" s="146" t="s">
        <v>204</v>
      </c>
      <c r="D51" s="131" t="s">
        <v>531</v>
      </c>
    </row>
    <row r="52" spans="1:5">
      <c r="A52" s="132">
        <v>42005</v>
      </c>
      <c r="B52" s="132"/>
      <c r="C52" s="134" t="s">
        <v>202</v>
      </c>
      <c r="D52" s="131" t="s">
        <v>515</v>
      </c>
    </row>
    <row r="53" spans="1:5">
      <c r="A53" s="132">
        <v>42005</v>
      </c>
      <c r="B53" s="132"/>
      <c r="C53" s="134" t="s">
        <v>296</v>
      </c>
      <c r="D53" s="133" t="s">
        <v>536</v>
      </c>
    </row>
    <row r="54" spans="1:5">
      <c r="A54" s="132">
        <v>42005</v>
      </c>
      <c r="B54" s="132"/>
      <c r="C54" s="134" t="s">
        <v>287</v>
      </c>
      <c r="D54" s="133" t="s">
        <v>536</v>
      </c>
    </row>
    <row r="55" spans="1:5">
      <c r="A55" s="132">
        <v>42005</v>
      </c>
      <c r="B55" s="132"/>
      <c r="C55" s="134" t="s">
        <v>288</v>
      </c>
      <c r="D55" s="133" t="s">
        <v>527</v>
      </c>
    </row>
    <row r="56" spans="1:5">
      <c r="A56" s="132">
        <v>42005</v>
      </c>
      <c r="B56" s="132"/>
      <c r="C56" s="134" t="s">
        <v>297</v>
      </c>
      <c r="D56" s="133" t="s">
        <v>536</v>
      </c>
    </row>
    <row r="57" spans="1:5">
      <c r="A57" s="132">
        <v>42005</v>
      </c>
      <c r="B57" s="132"/>
      <c r="C57" s="134" t="s">
        <v>289</v>
      </c>
      <c r="D57" s="133" t="s">
        <v>527</v>
      </c>
    </row>
    <row r="58" spans="1:5">
      <c r="A58" s="132">
        <v>42005</v>
      </c>
      <c r="B58" s="132"/>
      <c r="C58" s="134" t="s">
        <v>290</v>
      </c>
      <c r="D58" s="133" t="s">
        <v>536</v>
      </c>
    </row>
    <row r="59" spans="1:5" ht="169">
      <c r="A59" s="132">
        <v>42005</v>
      </c>
      <c r="B59" s="132"/>
      <c r="D59" s="133" t="s">
        <v>578</v>
      </c>
    </row>
    <row r="60" spans="1:5" ht="78">
      <c r="A60" s="132">
        <v>42029</v>
      </c>
      <c r="B60" s="132"/>
      <c r="C60" s="146" t="s">
        <v>580</v>
      </c>
      <c r="D60" s="133" t="s">
        <v>579</v>
      </c>
    </row>
    <row r="61" spans="1:5">
      <c r="A61" s="132">
        <v>42030</v>
      </c>
      <c r="B61" s="132"/>
      <c r="C61" s="134" t="s">
        <v>202</v>
      </c>
      <c r="D61" s="133" t="s">
        <v>537</v>
      </c>
    </row>
    <row r="62" spans="1:5" ht="91">
      <c r="A62" s="132">
        <v>42033</v>
      </c>
      <c r="B62" s="132"/>
      <c r="C62" s="131" t="s">
        <v>585</v>
      </c>
      <c r="D62" s="133" t="s">
        <v>583</v>
      </c>
      <c r="E62" s="145" t="s">
        <v>582</v>
      </c>
    </row>
    <row r="63" spans="1:5">
      <c r="A63" s="132">
        <v>42100</v>
      </c>
      <c r="B63" s="132"/>
      <c r="C63" s="146" t="s">
        <v>182</v>
      </c>
      <c r="D63" s="131" t="s">
        <v>641</v>
      </c>
    </row>
    <row r="64" spans="1:5">
      <c r="A64" s="132">
        <v>42118</v>
      </c>
      <c r="B64" s="132"/>
      <c r="C64" s="134" t="s">
        <v>520</v>
      </c>
      <c r="D64" s="147" t="s">
        <v>581</v>
      </c>
      <c r="E64" s="145" t="s">
        <v>582</v>
      </c>
    </row>
    <row r="65" spans="1:5">
      <c r="A65" s="132">
        <v>42118</v>
      </c>
      <c r="B65" s="132"/>
      <c r="C65" s="146" t="s">
        <v>201</v>
      </c>
      <c r="D65" s="147" t="s">
        <v>581</v>
      </c>
      <c r="E65" s="145" t="s">
        <v>582</v>
      </c>
    </row>
    <row r="66" spans="1:5">
      <c r="A66" s="132">
        <v>42118</v>
      </c>
      <c r="B66" s="132"/>
      <c r="C66" s="146" t="s">
        <v>210</v>
      </c>
      <c r="D66" s="147" t="s">
        <v>581</v>
      </c>
      <c r="E66" s="145" t="s">
        <v>582</v>
      </c>
    </row>
    <row r="67" spans="1:5">
      <c r="A67" s="132">
        <v>42121</v>
      </c>
      <c r="B67" s="132"/>
      <c r="C67" s="134" t="s">
        <v>202</v>
      </c>
      <c r="D67" s="133" t="s">
        <v>538</v>
      </c>
    </row>
    <row r="68" spans="1:5" ht="39">
      <c r="A68" s="132">
        <v>42125</v>
      </c>
      <c r="B68" s="132"/>
      <c r="C68" s="146" t="s">
        <v>580</v>
      </c>
      <c r="D68" s="133" t="s">
        <v>584</v>
      </c>
    </row>
    <row r="69" spans="1:5" ht="39">
      <c r="A69" s="132">
        <v>42125</v>
      </c>
      <c r="B69" s="132"/>
      <c r="C69" s="131" t="s">
        <v>586</v>
      </c>
      <c r="D69" s="133" t="s">
        <v>587</v>
      </c>
    </row>
    <row r="70" spans="1:5" ht="39">
      <c r="A70" s="132">
        <v>42132</v>
      </c>
      <c r="B70" s="132"/>
      <c r="C70" s="131" t="s">
        <v>208</v>
      </c>
      <c r="D70" s="133" t="s">
        <v>588</v>
      </c>
    </row>
    <row r="71" spans="1:5" ht="39">
      <c r="A71" s="132">
        <v>42132</v>
      </c>
      <c r="B71" s="132"/>
      <c r="C71" s="146" t="s">
        <v>386</v>
      </c>
      <c r="D71" s="133" t="s">
        <v>588</v>
      </c>
    </row>
    <row r="72" spans="1:5" ht="39">
      <c r="A72" s="132">
        <v>42132</v>
      </c>
      <c r="B72" s="132"/>
      <c r="C72" s="146" t="s">
        <v>387</v>
      </c>
      <c r="D72" s="133" t="s">
        <v>588</v>
      </c>
    </row>
    <row r="73" spans="1:5" ht="39">
      <c r="A73" s="132">
        <v>42132</v>
      </c>
      <c r="B73" s="132"/>
      <c r="C73" s="146" t="s">
        <v>388</v>
      </c>
      <c r="D73" s="133" t="s">
        <v>588</v>
      </c>
    </row>
    <row r="74" spans="1:5">
      <c r="A74" s="132">
        <v>42136</v>
      </c>
      <c r="B74" s="132"/>
      <c r="C74" s="131" t="s">
        <v>585</v>
      </c>
      <c r="D74" s="131" t="s">
        <v>590</v>
      </c>
    </row>
    <row r="75" spans="1:5">
      <c r="A75" s="132">
        <v>42196</v>
      </c>
      <c r="B75" s="132"/>
      <c r="C75" s="146" t="s">
        <v>210</v>
      </c>
      <c r="D75" s="131" t="s">
        <v>591</v>
      </c>
    </row>
    <row r="76" spans="1:5">
      <c r="A76" s="132">
        <v>42217</v>
      </c>
      <c r="B76" s="132"/>
      <c r="C76" s="134" t="s">
        <v>540</v>
      </c>
      <c r="D76" s="131" t="s">
        <v>539</v>
      </c>
    </row>
    <row r="77" spans="1:5">
      <c r="A77" s="132">
        <v>42217</v>
      </c>
      <c r="B77" s="132"/>
      <c r="C77" s="134" t="s">
        <v>386</v>
      </c>
      <c r="D77" s="133" t="s">
        <v>642</v>
      </c>
    </row>
    <row r="78" spans="1:5">
      <c r="A78" s="132">
        <v>42217</v>
      </c>
      <c r="B78" s="132"/>
      <c r="C78" s="134" t="s">
        <v>387</v>
      </c>
      <c r="D78" s="133" t="s">
        <v>643</v>
      </c>
    </row>
    <row r="79" spans="1:5">
      <c r="A79" s="132">
        <v>42217</v>
      </c>
      <c r="B79" s="132"/>
      <c r="C79" s="134" t="s">
        <v>388</v>
      </c>
      <c r="D79" s="133" t="s">
        <v>644</v>
      </c>
    </row>
    <row r="80" spans="1:5" ht="26">
      <c r="A80" s="132">
        <v>42217</v>
      </c>
      <c r="B80" s="132"/>
      <c r="C80" s="134" t="s">
        <v>215</v>
      </c>
      <c r="D80" s="133" t="s">
        <v>528</v>
      </c>
    </row>
    <row r="81" spans="1:5" ht="26">
      <c r="A81" s="132">
        <v>42217</v>
      </c>
      <c r="B81" s="132"/>
      <c r="C81" s="134" t="s">
        <v>217</v>
      </c>
      <c r="D81" s="133" t="s">
        <v>528</v>
      </c>
    </row>
    <row r="82" spans="1:5">
      <c r="A82" s="132">
        <v>42217</v>
      </c>
      <c r="B82" s="132"/>
      <c r="C82" s="134" t="s">
        <v>298</v>
      </c>
      <c r="D82" s="133" t="s">
        <v>541</v>
      </c>
    </row>
    <row r="83" spans="1:5">
      <c r="A83" s="132">
        <v>42217</v>
      </c>
      <c r="B83" s="132"/>
      <c r="C83" s="146" t="s">
        <v>190</v>
      </c>
      <c r="D83" s="146" t="s">
        <v>532</v>
      </c>
    </row>
    <row r="84" spans="1:5" ht="409.5">
      <c r="A84" s="132">
        <v>42223</v>
      </c>
      <c r="B84" s="132"/>
      <c r="C84" s="131" t="s">
        <v>586</v>
      </c>
      <c r="D84" s="133" t="s">
        <v>645</v>
      </c>
    </row>
    <row r="85" spans="1:5">
      <c r="A85" s="132">
        <v>42233</v>
      </c>
      <c r="B85" s="132"/>
      <c r="C85" s="131" t="s">
        <v>594</v>
      </c>
      <c r="D85" s="131" t="s">
        <v>592</v>
      </c>
      <c r="E85" s="145" t="s">
        <v>582</v>
      </c>
    </row>
    <row r="86" spans="1:5">
      <c r="A86" s="132">
        <v>42236</v>
      </c>
      <c r="B86" s="132"/>
      <c r="C86" s="131" t="s">
        <v>594</v>
      </c>
      <c r="D86" s="131" t="s">
        <v>593</v>
      </c>
    </row>
    <row r="87" spans="1:5">
      <c r="A87" s="132">
        <v>42236</v>
      </c>
      <c r="B87" s="132"/>
      <c r="C87" s="146" t="s">
        <v>595</v>
      </c>
      <c r="D87" s="147" t="s">
        <v>596</v>
      </c>
    </row>
    <row r="88" spans="1:5">
      <c r="A88" s="132">
        <v>42240</v>
      </c>
      <c r="B88" s="132"/>
      <c r="C88" s="146" t="s">
        <v>190</v>
      </c>
      <c r="D88" s="131" t="s">
        <v>598</v>
      </c>
      <c r="E88" s="145" t="s">
        <v>582</v>
      </c>
    </row>
    <row r="89" spans="1:5" ht="26">
      <c r="A89" s="132">
        <v>42242</v>
      </c>
      <c r="B89" s="132"/>
      <c r="C89" s="134" t="s">
        <v>317</v>
      </c>
      <c r="D89" s="133" t="s">
        <v>542</v>
      </c>
    </row>
    <row r="90" spans="1:5">
      <c r="A90" s="132">
        <v>42242</v>
      </c>
      <c r="B90" s="132"/>
      <c r="C90" s="131" t="s">
        <v>594</v>
      </c>
      <c r="D90" s="131" t="s">
        <v>597</v>
      </c>
      <c r="E90" s="145" t="s">
        <v>582</v>
      </c>
    </row>
    <row r="91" spans="1:5" ht="26">
      <c r="A91" s="132">
        <v>42243</v>
      </c>
      <c r="B91" s="132"/>
      <c r="C91" s="146" t="s">
        <v>215</v>
      </c>
      <c r="D91" s="133" t="s">
        <v>638</v>
      </c>
      <c r="E91" s="145" t="s">
        <v>582</v>
      </c>
    </row>
    <row r="92" spans="1:5" ht="26">
      <c r="A92" s="132">
        <v>42243</v>
      </c>
      <c r="B92" s="132"/>
      <c r="C92" s="146" t="s">
        <v>217</v>
      </c>
      <c r="D92" s="133" t="s">
        <v>638</v>
      </c>
      <c r="E92" s="145" t="s">
        <v>582</v>
      </c>
    </row>
    <row r="93" spans="1:5">
      <c r="A93" s="132">
        <v>42274</v>
      </c>
      <c r="B93" s="132"/>
      <c r="C93" s="146" t="s">
        <v>315</v>
      </c>
      <c r="D93" s="131" t="s">
        <v>599</v>
      </c>
    </row>
    <row r="94" spans="1:5">
      <c r="A94" s="132">
        <v>42274</v>
      </c>
      <c r="B94" s="132"/>
      <c r="C94" s="146" t="s">
        <v>316</v>
      </c>
      <c r="D94" s="131" t="s">
        <v>599</v>
      </c>
    </row>
    <row r="95" spans="1:5">
      <c r="A95" s="132">
        <v>42274</v>
      </c>
      <c r="B95" s="132"/>
      <c r="C95" s="146" t="s">
        <v>318</v>
      </c>
      <c r="D95" s="131" t="s">
        <v>600</v>
      </c>
    </row>
    <row r="96" spans="1:5">
      <c r="A96" s="132">
        <v>42274</v>
      </c>
      <c r="B96" s="132"/>
      <c r="C96" s="146" t="s">
        <v>319</v>
      </c>
      <c r="D96" s="131" t="s">
        <v>599</v>
      </c>
    </row>
    <row r="97" spans="1:5" ht="26">
      <c r="A97" s="132">
        <v>42282</v>
      </c>
      <c r="B97" s="132"/>
      <c r="C97" s="146" t="s">
        <v>837</v>
      </c>
      <c r="D97" s="133" t="s">
        <v>601</v>
      </c>
    </row>
    <row r="98" spans="1:5" ht="39">
      <c r="A98" s="132">
        <v>42286</v>
      </c>
      <c r="B98" s="132"/>
      <c r="C98" s="146" t="s">
        <v>317</v>
      </c>
      <c r="D98" s="133" t="s">
        <v>602</v>
      </c>
    </row>
    <row r="99" spans="1:5" ht="39">
      <c r="A99" s="132">
        <v>42286</v>
      </c>
      <c r="B99" s="132"/>
      <c r="C99" s="146" t="s">
        <v>236</v>
      </c>
      <c r="D99" s="133" t="s">
        <v>602</v>
      </c>
    </row>
    <row r="100" spans="1:5" ht="39">
      <c r="A100" s="132">
        <v>42286</v>
      </c>
      <c r="B100" s="132"/>
      <c r="C100" s="146" t="s">
        <v>237</v>
      </c>
      <c r="D100" s="133" t="s">
        <v>602</v>
      </c>
    </row>
    <row r="101" spans="1:5" ht="39">
      <c r="A101" s="132">
        <v>42286</v>
      </c>
      <c r="B101" s="132"/>
      <c r="C101" s="146" t="s">
        <v>296</v>
      </c>
      <c r="D101" s="133" t="s">
        <v>602</v>
      </c>
    </row>
    <row r="102" spans="1:5" ht="52">
      <c r="A102" s="132">
        <v>42305</v>
      </c>
      <c r="B102" s="132"/>
      <c r="C102" s="131" t="s">
        <v>603</v>
      </c>
      <c r="D102" s="133" t="s">
        <v>627</v>
      </c>
    </row>
    <row r="103" spans="1:5">
      <c r="A103" s="135">
        <v>42334</v>
      </c>
      <c r="B103" s="135"/>
      <c r="C103" s="131" t="s">
        <v>606</v>
      </c>
      <c r="D103" s="131" t="s">
        <v>604</v>
      </c>
    </row>
    <row r="104" spans="1:5">
      <c r="A104" s="135">
        <v>42334</v>
      </c>
      <c r="B104" s="135"/>
      <c r="C104" s="131" t="s">
        <v>608</v>
      </c>
      <c r="D104" s="131" t="s">
        <v>604</v>
      </c>
    </row>
    <row r="105" spans="1:5">
      <c r="A105" s="135">
        <v>42334</v>
      </c>
      <c r="B105" s="135"/>
      <c r="C105" s="131" t="s">
        <v>610</v>
      </c>
      <c r="D105" s="131" t="s">
        <v>611</v>
      </c>
    </row>
    <row r="106" spans="1:5">
      <c r="A106" s="135">
        <v>42334</v>
      </c>
      <c r="B106" s="135"/>
      <c r="C106" s="146" t="s">
        <v>321</v>
      </c>
      <c r="D106" s="131" t="s">
        <v>612</v>
      </c>
    </row>
    <row r="107" spans="1:5">
      <c r="A107" s="132">
        <v>42339</v>
      </c>
      <c r="B107" s="132"/>
      <c r="D107" s="131" t="s">
        <v>613</v>
      </c>
      <c r="E107" s="145" t="s">
        <v>582</v>
      </c>
    </row>
    <row r="108" spans="1:5" ht="104">
      <c r="A108" s="132">
        <v>42359</v>
      </c>
      <c r="B108" s="132"/>
      <c r="C108" s="146" t="s">
        <v>210</v>
      </c>
      <c r="D108" s="133" t="s">
        <v>646</v>
      </c>
    </row>
    <row r="109" spans="1:5" ht="26">
      <c r="A109" s="132">
        <v>42361</v>
      </c>
      <c r="B109" s="132"/>
      <c r="C109" s="134" t="s">
        <v>317</v>
      </c>
      <c r="D109" s="133" t="s">
        <v>516</v>
      </c>
    </row>
    <row r="110" spans="1:5">
      <c r="A110" s="132">
        <v>42361</v>
      </c>
      <c r="B110" s="132"/>
      <c r="C110" s="134" t="s">
        <v>317</v>
      </c>
      <c r="D110" s="133" t="s">
        <v>517</v>
      </c>
    </row>
    <row r="111" spans="1:5" ht="52">
      <c r="A111" s="132">
        <v>42361</v>
      </c>
      <c r="B111" s="132"/>
      <c r="C111" s="134" t="s">
        <v>210</v>
      </c>
      <c r="D111" s="133" t="s">
        <v>519</v>
      </c>
    </row>
    <row r="112" spans="1:5">
      <c r="A112" s="132">
        <v>42363</v>
      </c>
      <c r="B112" s="132"/>
      <c r="C112" s="146" t="s">
        <v>317</v>
      </c>
      <c r="D112" s="131" t="s">
        <v>614</v>
      </c>
      <c r="E112" s="145" t="s">
        <v>582</v>
      </c>
    </row>
    <row r="113" spans="1:5">
      <c r="A113" s="132">
        <v>42415</v>
      </c>
      <c r="B113" s="132"/>
      <c r="C113" s="146" t="s">
        <v>615</v>
      </c>
      <c r="D113" s="131" t="s">
        <v>616</v>
      </c>
    </row>
    <row r="114" spans="1:5">
      <c r="A114" s="132">
        <v>42419</v>
      </c>
      <c r="B114" s="132"/>
      <c r="C114" s="134" t="s">
        <v>317</v>
      </c>
      <c r="D114" s="133" t="s">
        <v>518</v>
      </c>
    </row>
    <row r="115" spans="1:5">
      <c r="A115" s="132">
        <v>42438</v>
      </c>
      <c r="B115" s="132"/>
      <c r="C115" s="146" t="s">
        <v>201</v>
      </c>
      <c r="D115" s="131" t="s">
        <v>617</v>
      </c>
    </row>
    <row r="116" spans="1:5" ht="26">
      <c r="A116" s="132">
        <v>42443</v>
      </c>
      <c r="B116" s="132"/>
      <c r="C116" s="146" t="s">
        <v>187</v>
      </c>
      <c r="D116" s="133" t="s">
        <v>618</v>
      </c>
    </row>
    <row r="117" spans="1:5" ht="39">
      <c r="A117" s="132">
        <v>42452</v>
      </c>
      <c r="B117" s="132"/>
      <c r="C117" s="134" t="s">
        <v>208</v>
      </c>
      <c r="D117" s="133" t="s">
        <v>529</v>
      </c>
    </row>
    <row r="118" spans="1:5" ht="39">
      <c r="A118" s="132">
        <v>42452</v>
      </c>
      <c r="B118" s="132"/>
      <c r="C118" s="134" t="s">
        <v>318</v>
      </c>
      <c r="D118" s="133" t="s">
        <v>522</v>
      </c>
    </row>
    <row r="119" spans="1:5" ht="39">
      <c r="A119" s="132">
        <v>42452</v>
      </c>
      <c r="B119" s="132"/>
      <c r="C119" s="134" t="s">
        <v>319</v>
      </c>
      <c r="D119" s="133" t="s">
        <v>637</v>
      </c>
    </row>
    <row r="120" spans="1:5" ht="39">
      <c r="A120" s="132">
        <v>42452</v>
      </c>
      <c r="B120" s="132"/>
      <c r="C120" s="134" t="s">
        <v>321</v>
      </c>
      <c r="D120" s="133" t="s">
        <v>523</v>
      </c>
    </row>
    <row r="121" spans="1:5" ht="65">
      <c r="A121" s="132">
        <v>42452</v>
      </c>
      <c r="B121" s="132"/>
      <c r="C121" s="131" t="s">
        <v>619</v>
      </c>
      <c r="D121" s="133" t="s">
        <v>623</v>
      </c>
      <c r="E121" s="145" t="s">
        <v>582</v>
      </c>
    </row>
    <row r="122" spans="1:5" ht="65">
      <c r="A122" s="132">
        <v>42452</v>
      </c>
      <c r="B122" s="132"/>
      <c r="C122" s="131" t="s">
        <v>620</v>
      </c>
      <c r="D122" s="133" t="s">
        <v>639</v>
      </c>
      <c r="E122" s="145" t="s">
        <v>582</v>
      </c>
    </row>
    <row r="123" spans="1:5" ht="65">
      <c r="A123" s="132">
        <v>42452</v>
      </c>
      <c r="B123" s="132"/>
      <c r="C123" s="131" t="s">
        <v>621</v>
      </c>
      <c r="D123" s="133" t="s">
        <v>623</v>
      </c>
      <c r="E123" s="145" t="s">
        <v>582</v>
      </c>
    </row>
    <row r="124" spans="1:5" ht="65">
      <c r="A124" s="132">
        <v>42452</v>
      </c>
      <c r="B124" s="132"/>
      <c r="C124" s="131" t="s">
        <v>208</v>
      </c>
      <c r="D124" s="133" t="s">
        <v>623</v>
      </c>
      <c r="E124" s="145" t="s">
        <v>582</v>
      </c>
    </row>
    <row r="125" spans="1:5" ht="65">
      <c r="A125" s="132">
        <v>42452</v>
      </c>
      <c r="B125" s="132"/>
      <c r="C125" s="131" t="s">
        <v>296</v>
      </c>
      <c r="D125" s="133" t="s">
        <v>623</v>
      </c>
      <c r="E125" s="145" t="s">
        <v>582</v>
      </c>
    </row>
    <row r="126" spans="1:5">
      <c r="A126" s="132">
        <v>42452</v>
      </c>
      <c r="B126" s="132"/>
      <c r="C126" s="131" t="s">
        <v>619</v>
      </c>
      <c r="D126" s="131" t="s">
        <v>622</v>
      </c>
    </row>
    <row r="127" spans="1:5" ht="39">
      <c r="A127" s="132">
        <v>42454</v>
      </c>
      <c r="B127" s="132"/>
      <c r="C127" s="134" t="s">
        <v>296</v>
      </c>
      <c r="D127" s="133" t="s">
        <v>524</v>
      </c>
    </row>
    <row r="128" spans="1:5" ht="39">
      <c r="A128" s="132">
        <v>42454</v>
      </c>
      <c r="B128" s="132"/>
      <c r="C128" s="134" t="s">
        <v>296</v>
      </c>
      <c r="D128" s="133" t="s">
        <v>525</v>
      </c>
    </row>
    <row r="129" spans="1:5">
      <c r="A129" s="132">
        <v>42583</v>
      </c>
      <c r="B129" s="132"/>
      <c r="C129" s="134" t="s">
        <v>386</v>
      </c>
      <c r="D129" s="133" t="s">
        <v>526</v>
      </c>
    </row>
    <row r="130" spans="1:5">
      <c r="A130" s="135">
        <v>42584</v>
      </c>
      <c r="B130" s="135"/>
      <c r="C130" s="134" t="s">
        <v>520</v>
      </c>
      <c r="D130" s="131" t="s">
        <v>624</v>
      </c>
    </row>
    <row r="131" spans="1:5" ht="65">
      <c r="A131" s="132">
        <v>42601</v>
      </c>
      <c r="B131" s="132"/>
      <c r="C131" s="131" t="s">
        <v>603</v>
      </c>
      <c r="D131" s="133" t="s">
        <v>626</v>
      </c>
    </row>
    <row r="132" spans="1:5" ht="26">
      <c r="A132" s="132">
        <v>42606</v>
      </c>
      <c r="B132" s="132"/>
      <c r="C132" s="134" t="s">
        <v>230</v>
      </c>
      <c r="D132" s="133" t="s">
        <v>625</v>
      </c>
      <c r="E132" s="145" t="s">
        <v>582</v>
      </c>
    </row>
    <row r="133" spans="1:5">
      <c r="A133" s="132">
        <v>42695</v>
      </c>
      <c r="B133" s="132"/>
      <c r="C133" s="134" t="s">
        <v>287</v>
      </c>
      <c r="D133" s="131" t="s">
        <v>543</v>
      </c>
    </row>
    <row r="134" spans="1:5">
      <c r="A134" s="132">
        <v>42695</v>
      </c>
      <c r="B134" s="132"/>
      <c r="C134" s="134" t="s">
        <v>288</v>
      </c>
      <c r="D134" s="131" t="s">
        <v>543</v>
      </c>
    </row>
    <row r="135" spans="1:5">
      <c r="A135" s="132">
        <v>42695</v>
      </c>
      <c r="B135" s="132"/>
      <c r="C135" s="134" t="s">
        <v>289</v>
      </c>
      <c r="D135" s="133" t="s">
        <v>543</v>
      </c>
    </row>
    <row r="136" spans="1:5">
      <c r="A136" s="132">
        <v>42695</v>
      </c>
      <c r="B136" s="132"/>
      <c r="C136" s="134" t="s">
        <v>290</v>
      </c>
      <c r="D136" s="131" t="s">
        <v>544</v>
      </c>
    </row>
    <row r="137" spans="1:5">
      <c r="A137" s="132">
        <v>42695</v>
      </c>
      <c r="B137" s="132"/>
      <c r="C137" s="134" t="s">
        <v>220</v>
      </c>
      <c r="D137" s="131" t="s">
        <v>543</v>
      </c>
    </row>
    <row r="138" spans="1:5">
      <c r="A138" s="132">
        <v>42695</v>
      </c>
      <c r="B138" s="132"/>
      <c r="C138" s="134" t="s">
        <v>287</v>
      </c>
      <c r="D138" s="131" t="s">
        <v>543</v>
      </c>
    </row>
    <row r="139" spans="1:5">
      <c r="A139" s="132">
        <v>42695</v>
      </c>
      <c r="B139" s="132"/>
      <c r="C139" s="134" t="s">
        <v>288</v>
      </c>
      <c r="D139" s="131" t="s">
        <v>543</v>
      </c>
    </row>
    <row r="140" spans="1:5">
      <c r="A140" s="132">
        <v>42736</v>
      </c>
      <c r="B140" s="132"/>
      <c r="C140" s="134" t="s">
        <v>205</v>
      </c>
      <c r="D140" s="131" t="s">
        <v>511</v>
      </c>
    </row>
    <row r="141" spans="1:5">
      <c r="A141" s="132">
        <v>42736</v>
      </c>
      <c r="B141" s="132"/>
      <c r="C141" s="134" t="s">
        <v>206</v>
      </c>
      <c r="D141" s="131" t="s">
        <v>511</v>
      </c>
    </row>
    <row r="142" spans="1:5">
      <c r="A142" s="132">
        <v>42736</v>
      </c>
      <c r="B142" s="132"/>
      <c r="C142" s="134" t="s">
        <v>208</v>
      </c>
      <c r="D142" s="131" t="s">
        <v>512</v>
      </c>
    </row>
    <row r="143" spans="1:5">
      <c r="A143" s="132">
        <v>42736</v>
      </c>
      <c r="B143" s="132"/>
      <c r="C143" s="134" t="s">
        <v>236</v>
      </c>
      <c r="D143" s="131" t="s">
        <v>512</v>
      </c>
    </row>
    <row r="144" spans="1:5">
      <c r="A144" s="132">
        <v>42736</v>
      </c>
      <c r="B144" s="132"/>
      <c r="C144" s="134" t="s">
        <v>237</v>
      </c>
      <c r="D144" s="131" t="s">
        <v>512</v>
      </c>
    </row>
    <row r="145" spans="1:4">
      <c r="A145" s="132">
        <v>42736</v>
      </c>
      <c r="B145" s="132"/>
      <c r="C145" s="134" t="s">
        <v>386</v>
      </c>
      <c r="D145" s="131" t="s">
        <v>512</v>
      </c>
    </row>
    <row r="146" spans="1:4">
      <c r="A146" s="132">
        <v>42736</v>
      </c>
      <c r="B146" s="132"/>
      <c r="C146" s="134" t="s">
        <v>387</v>
      </c>
      <c r="D146" s="131" t="s">
        <v>512</v>
      </c>
    </row>
    <row r="147" spans="1:4">
      <c r="A147" s="132">
        <v>42736</v>
      </c>
      <c r="B147" s="132"/>
      <c r="C147" s="134" t="s">
        <v>388</v>
      </c>
      <c r="D147" s="131" t="s">
        <v>512</v>
      </c>
    </row>
    <row r="148" spans="1:4">
      <c r="A148" s="132">
        <v>42736</v>
      </c>
      <c r="B148" s="132"/>
      <c r="C148" s="134" t="s">
        <v>296</v>
      </c>
      <c r="D148" s="131" t="s">
        <v>512</v>
      </c>
    </row>
    <row r="149" spans="1:4">
      <c r="A149" s="132">
        <v>42736</v>
      </c>
      <c r="B149" s="132"/>
      <c r="C149" s="134" t="s">
        <v>287</v>
      </c>
      <c r="D149" s="131" t="s">
        <v>512</v>
      </c>
    </row>
    <row r="150" spans="1:4">
      <c r="A150" s="132">
        <v>42736</v>
      </c>
      <c r="B150" s="132"/>
      <c r="C150" s="134" t="s">
        <v>288</v>
      </c>
      <c r="D150" s="131" t="s">
        <v>512</v>
      </c>
    </row>
    <row r="151" spans="1:4" ht="65">
      <c r="A151" s="132">
        <v>42736</v>
      </c>
      <c r="B151" s="132"/>
      <c r="C151" s="146" t="s">
        <v>202</v>
      </c>
      <c r="D151" s="133" t="s">
        <v>549</v>
      </c>
    </row>
    <row r="152" spans="1:4">
      <c r="A152" s="132">
        <v>42736</v>
      </c>
      <c r="B152" s="132"/>
      <c r="C152" s="134" t="s">
        <v>520</v>
      </c>
      <c r="D152" s="131" t="s">
        <v>647</v>
      </c>
    </row>
    <row r="153" spans="1:4" ht="39">
      <c r="A153" s="132">
        <v>42736</v>
      </c>
      <c r="B153" s="132" t="s">
        <v>688</v>
      </c>
      <c r="C153" s="131" t="s">
        <v>551</v>
      </c>
      <c r="D153" s="133" t="s">
        <v>648</v>
      </c>
    </row>
    <row r="154" spans="1:4" ht="39">
      <c r="A154" s="132">
        <v>42736</v>
      </c>
      <c r="B154" s="132"/>
      <c r="C154" s="131" t="s">
        <v>649</v>
      </c>
      <c r="D154" s="133" t="s">
        <v>650</v>
      </c>
    </row>
    <row r="155" spans="1:4">
      <c r="A155" s="132">
        <v>42736</v>
      </c>
      <c r="B155" s="132"/>
      <c r="C155" s="148" t="s">
        <v>580</v>
      </c>
      <c r="D155" s="131" t="s">
        <v>661</v>
      </c>
    </row>
    <row r="156" spans="1:4">
      <c r="A156" s="132">
        <v>42736</v>
      </c>
      <c r="B156" s="132"/>
      <c r="C156" s="148" t="s">
        <v>236</v>
      </c>
      <c r="D156" s="133" t="s">
        <v>662</v>
      </c>
    </row>
    <row r="157" spans="1:4">
      <c r="A157" s="132">
        <v>42736</v>
      </c>
      <c r="B157" s="132"/>
      <c r="C157" s="148" t="s">
        <v>237</v>
      </c>
      <c r="D157" s="133" t="s">
        <v>662</v>
      </c>
    </row>
    <row r="158" spans="1:4">
      <c r="A158" s="132">
        <v>42751</v>
      </c>
      <c r="B158" s="132"/>
      <c r="C158" s="131" t="s">
        <v>651</v>
      </c>
      <c r="D158" s="131" t="s">
        <v>653</v>
      </c>
    </row>
    <row r="159" spans="1:4">
      <c r="A159" s="132">
        <v>42762</v>
      </c>
      <c r="B159" s="132" t="s">
        <v>689</v>
      </c>
      <c r="C159" s="131" t="s">
        <v>199</v>
      </c>
      <c r="D159" s="131" t="s">
        <v>660</v>
      </c>
    </row>
    <row r="160" spans="1:4">
      <c r="A160" s="132">
        <v>42765</v>
      </c>
      <c r="B160" s="132"/>
      <c r="C160" s="148" t="s">
        <v>316</v>
      </c>
      <c r="D160" s="133" t="s">
        <v>663</v>
      </c>
    </row>
    <row r="161" spans="1:4">
      <c r="A161" s="132">
        <v>42765</v>
      </c>
      <c r="B161" s="132"/>
      <c r="C161" s="149" t="s">
        <v>387</v>
      </c>
      <c r="D161" s="133" t="s">
        <v>664</v>
      </c>
    </row>
    <row r="162" spans="1:4">
      <c r="A162" s="132">
        <v>42765</v>
      </c>
      <c r="B162" s="132"/>
      <c r="C162" s="149" t="s">
        <v>388</v>
      </c>
      <c r="D162" s="133" t="s">
        <v>665</v>
      </c>
    </row>
    <row r="163" spans="1:4">
      <c r="A163" s="132">
        <v>42765</v>
      </c>
      <c r="B163" s="132"/>
      <c r="C163" s="149" t="s">
        <v>301</v>
      </c>
      <c r="D163" s="133" t="s">
        <v>666</v>
      </c>
    </row>
    <row r="164" spans="1:4">
      <c r="A164" s="132">
        <v>42765</v>
      </c>
      <c r="B164" s="132"/>
      <c r="C164" s="149" t="s">
        <v>667</v>
      </c>
      <c r="D164" s="133" t="s">
        <v>668</v>
      </c>
    </row>
    <row r="165" spans="1:4">
      <c r="A165" s="132">
        <v>42765</v>
      </c>
      <c r="B165" s="132"/>
      <c r="C165" s="149" t="s">
        <v>201</v>
      </c>
      <c r="D165" s="133" t="s">
        <v>669</v>
      </c>
    </row>
    <row r="166" spans="1:4">
      <c r="A166" s="132">
        <v>42765</v>
      </c>
      <c r="B166" s="132"/>
      <c r="C166" s="149" t="s">
        <v>201</v>
      </c>
      <c r="D166" s="131" t="s">
        <v>670</v>
      </c>
    </row>
    <row r="167" spans="1:4">
      <c r="A167" s="132">
        <v>42765</v>
      </c>
      <c r="B167" s="132"/>
      <c r="C167" s="149" t="s">
        <v>201</v>
      </c>
      <c r="D167" s="131" t="s">
        <v>671</v>
      </c>
    </row>
    <row r="168" spans="1:4" ht="39">
      <c r="A168" s="132">
        <v>42769</v>
      </c>
      <c r="B168" s="132" t="s">
        <v>685</v>
      </c>
      <c r="C168" s="148" t="s">
        <v>580</v>
      </c>
      <c r="D168" s="133" t="s">
        <v>680</v>
      </c>
    </row>
    <row r="169" spans="1:4">
      <c r="A169" s="132">
        <v>42769</v>
      </c>
      <c r="B169" s="132"/>
      <c r="C169" s="148" t="s">
        <v>203</v>
      </c>
      <c r="D169" s="131" t="s">
        <v>679</v>
      </c>
    </row>
    <row r="170" spans="1:4">
      <c r="A170" s="132">
        <v>42769</v>
      </c>
      <c r="B170" s="132"/>
      <c r="C170" s="148" t="s">
        <v>204</v>
      </c>
      <c r="D170" s="131" t="s">
        <v>678</v>
      </c>
    </row>
    <row r="171" spans="1:4">
      <c r="A171" s="132">
        <v>42769</v>
      </c>
      <c r="B171" s="132"/>
      <c r="C171" s="149" t="s">
        <v>299</v>
      </c>
      <c r="D171" s="131" t="s">
        <v>677</v>
      </c>
    </row>
    <row r="172" spans="1:4">
      <c r="A172" s="132">
        <v>42769</v>
      </c>
      <c r="B172" s="132"/>
      <c r="C172" s="149" t="s">
        <v>300</v>
      </c>
      <c r="D172" s="131" t="s">
        <v>676</v>
      </c>
    </row>
    <row r="173" spans="1:4">
      <c r="A173" s="132">
        <v>42769</v>
      </c>
      <c r="B173" s="132"/>
      <c r="C173" s="149" t="s">
        <v>302</v>
      </c>
      <c r="D173" s="131" t="s">
        <v>676</v>
      </c>
    </row>
    <row r="174" spans="1:4" ht="39">
      <c r="A174" s="132">
        <v>42778</v>
      </c>
      <c r="B174" s="132" t="s">
        <v>685</v>
      </c>
      <c r="C174" s="131" t="s">
        <v>682</v>
      </c>
      <c r="D174" s="133" t="s">
        <v>686</v>
      </c>
    </row>
    <row r="175" spans="1:4">
      <c r="A175" s="132">
        <v>42779</v>
      </c>
      <c r="B175" s="132" t="s">
        <v>685</v>
      </c>
      <c r="C175" s="131" t="s">
        <v>550</v>
      </c>
      <c r="D175" s="131" t="s">
        <v>687</v>
      </c>
    </row>
    <row r="176" spans="1:4">
      <c r="A176" s="132">
        <v>42789</v>
      </c>
      <c r="B176" s="131" t="s">
        <v>690</v>
      </c>
      <c r="C176" s="131" t="s">
        <v>691</v>
      </c>
      <c r="D176" s="131" t="s">
        <v>692</v>
      </c>
    </row>
    <row r="177" spans="1:4">
      <c r="A177" s="132">
        <v>42799</v>
      </c>
      <c r="C177" s="131" t="s">
        <v>694</v>
      </c>
      <c r="D177" s="131" t="s">
        <v>700</v>
      </c>
    </row>
    <row r="178" spans="1:4">
      <c r="A178" s="132">
        <v>42799</v>
      </c>
      <c r="C178" s="131" t="s">
        <v>695</v>
      </c>
      <c r="D178" s="131" t="s">
        <v>700</v>
      </c>
    </row>
    <row r="179" spans="1:4">
      <c r="A179" s="132">
        <v>42799</v>
      </c>
      <c r="C179" s="131" t="s">
        <v>696</v>
      </c>
      <c r="D179" s="131" t="s">
        <v>700</v>
      </c>
    </row>
    <row r="180" spans="1:4">
      <c r="A180" s="132">
        <v>42799</v>
      </c>
      <c r="C180" s="131" t="s">
        <v>697</v>
      </c>
      <c r="D180" s="131" t="s">
        <v>700</v>
      </c>
    </row>
    <row r="181" spans="1:4">
      <c r="A181" s="132">
        <v>42799</v>
      </c>
      <c r="C181" s="131" t="s">
        <v>698</v>
      </c>
      <c r="D181" s="131" t="s">
        <v>700</v>
      </c>
    </row>
    <row r="182" spans="1:4">
      <c r="A182" s="132">
        <v>42799</v>
      </c>
      <c r="C182" s="131" t="s">
        <v>699</v>
      </c>
      <c r="D182" s="131" t="s">
        <v>700</v>
      </c>
    </row>
    <row r="183" spans="1:4">
      <c r="A183" s="138">
        <v>42837</v>
      </c>
      <c r="B183" s="139"/>
      <c r="C183" s="139" t="s">
        <v>713</v>
      </c>
      <c r="D183" s="139" t="s">
        <v>714</v>
      </c>
    </row>
    <row r="184" spans="1:4">
      <c r="A184" s="138">
        <v>42838</v>
      </c>
      <c r="B184" s="132" t="s">
        <v>685</v>
      </c>
      <c r="C184" s="131" t="s">
        <v>619</v>
      </c>
      <c r="D184" s="131" t="s">
        <v>717</v>
      </c>
    </row>
    <row r="185" spans="1:4" ht="39">
      <c r="A185" s="138">
        <v>42839</v>
      </c>
      <c r="B185" s="139"/>
      <c r="C185" s="139" t="s">
        <v>715</v>
      </c>
      <c r="D185" s="140" t="s">
        <v>716</v>
      </c>
    </row>
    <row r="186" spans="1:4">
      <c r="A186" s="132">
        <v>42904</v>
      </c>
      <c r="C186" s="131" t="s">
        <v>720</v>
      </c>
      <c r="D186" s="131" t="s">
        <v>721</v>
      </c>
    </row>
    <row r="187" spans="1:4" ht="52">
      <c r="A187" s="132">
        <v>42906</v>
      </c>
      <c r="B187" s="132"/>
      <c r="C187" s="146" t="s">
        <v>318</v>
      </c>
      <c r="D187" s="133" t="s">
        <v>761</v>
      </c>
    </row>
    <row r="188" spans="1:4">
      <c r="A188" s="132">
        <v>42928</v>
      </c>
      <c r="B188" s="132" t="s">
        <v>685</v>
      </c>
      <c r="C188" s="131" t="s">
        <v>725</v>
      </c>
      <c r="D188" s="131" t="s">
        <v>740</v>
      </c>
    </row>
    <row r="189" spans="1:4" ht="26">
      <c r="A189" s="132">
        <v>42931</v>
      </c>
      <c r="B189" s="132" t="s">
        <v>685</v>
      </c>
      <c r="C189" s="131" t="s">
        <v>727</v>
      </c>
      <c r="D189" s="133" t="s">
        <v>755</v>
      </c>
    </row>
    <row r="190" spans="1:4">
      <c r="A190" s="132">
        <v>42944</v>
      </c>
      <c r="B190" s="132" t="s">
        <v>685</v>
      </c>
      <c r="C190" s="131" t="s">
        <v>728</v>
      </c>
      <c r="D190" s="131" t="s">
        <v>746</v>
      </c>
    </row>
    <row r="191" spans="1:4" ht="65">
      <c r="A191" s="132">
        <v>42948</v>
      </c>
      <c r="C191" s="131" t="s">
        <v>744</v>
      </c>
      <c r="D191" s="133" t="s">
        <v>752</v>
      </c>
    </row>
    <row r="192" spans="1:4" ht="26">
      <c r="A192" s="132">
        <v>42948</v>
      </c>
      <c r="C192" s="131" t="s">
        <v>741</v>
      </c>
      <c r="D192" s="133" t="s">
        <v>753</v>
      </c>
    </row>
    <row r="193" spans="1:5" ht="39">
      <c r="A193" s="132">
        <v>42948</v>
      </c>
      <c r="C193" s="131" t="s">
        <v>722</v>
      </c>
      <c r="D193" s="133" t="s">
        <v>754</v>
      </c>
    </row>
    <row r="194" spans="1:5">
      <c r="A194" s="132">
        <v>42948</v>
      </c>
      <c r="C194" s="131" t="s">
        <v>723</v>
      </c>
      <c r="D194" s="131" t="s">
        <v>1384</v>
      </c>
    </row>
    <row r="195" spans="1:5">
      <c r="A195" s="132">
        <v>42948</v>
      </c>
      <c r="C195" s="131" t="s">
        <v>745</v>
      </c>
      <c r="D195" s="131" t="s">
        <v>747</v>
      </c>
    </row>
    <row r="196" spans="1:5">
      <c r="A196" s="132">
        <v>42996</v>
      </c>
      <c r="C196" s="131" t="s">
        <v>765</v>
      </c>
      <c r="D196" s="131" t="s">
        <v>766</v>
      </c>
      <c r="E196" s="145" t="s">
        <v>767</v>
      </c>
    </row>
    <row r="197" spans="1:5">
      <c r="A197" s="132">
        <v>42996</v>
      </c>
      <c r="C197" s="131" t="s">
        <v>723</v>
      </c>
      <c r="D197" s="131" t="s">
        <v>768</v>
      </c>
      <c r="E197" s="145" t="s">
        <v>767</v>
      </c>
    </row>
    <row r="198" spans="1:5">
      <c r="A198" s="132">
        <v>42996</v>
      </c>
      <c r="C198" s="131" t="s">
        <v>770</v>
      </c>
      <c r="D198" s="131" t="s">
        <v>771</v>
      </c>
    </row>
    <row r="199" spans="1:5" ht="22">
      <c r="A199" s="132">
        <v>42948</v>
      </c>
      <c r="C199" s="131" t="s">
        <v>772</v>
      </c>
      <c r="D199" s="150" t="s">
        <v>757</v>
      </c>
    </row>
    <row r="200" spans="1:5" ht="22">
      <c r="A200" s="132">
        <v>42948</v>
      </c>
      <c r="C200" s="131" t="s">
        <v>773</v>
      </c>
      <c r="D200" s="150" t="s">
        <v>757</v>
      </c>
    </row>
    <row r="201" spans="1:5">
      <c r="A201" s="132">
        <v>43024</v>
      </c>
      <c r="C201" s="151" t="s">
        <v>520</v>
      </c>
      <c r="D201" s="152" t="s">
        <v>776</v>
      </c>
    </row>
    <row r="202" spans="1:5">
      <c r="A202" s="132">
        <v>43024</v>
      </c>
      <c r="C202" s="152" t="s">
        <v>201</v>
      </c>
      <c r="D202" s="152" t="s">
        <v>777</v>
      </c>
    </row>
    <row r="203" spans="1:5">
      <c r="A203" s="132">
        <v>43024</v>
      </c>
      <c r="C203" s="153" t="s">
        <v>723</v>
      </c>
      <c r="D203" s="152" t="s">
        <v>776</v>
      </c>
    </row>
    <row r="204" spans="1:5">
      <c r="A204" s="132">
        <v>43009</v>
      </c>
      <c r="C204" s="131" t="s">
        <v>575</v>
      </c>
      <c r="D204" s="131" t="s">
        <v>778</v>
      </c>
    </row>
    <row r="205" spans="1:5">
      <c r="A205" s="132">
        <v>43009</v>
      </c>
      <c r="C205" s="154" t="s">
        <v>315</v>
      </c>
      <c r="D205" s="131" t="s">
        <v>779</v>
      </c>
    </row>
    <row r="206" spans="1:5">
      <c r="A206" s="132">
        <v>43067</v>
      </c>
      <c r="B206" s="132" t="s">
        <v>685</v>
      </c>
      <c r="C206" s="155" t="s">
        <v>178</v>
      </c>
      <c r="D206" s="131" t="s">
        <v>780</v>
      </c>
    </row>
    <row r="207" spans="1:5">
      <c r="A207" s="132">
        <v>43067</v>
      </c>
      <c r="B207" s="132" t="s">
        <v>685</v>
      </c>
      <c r="C207" s="156" t="s">
        <v>182</v>
      </c>
      <c r="D207" s="131" t="s">
        <v>780</v>
      </c>
    </row>
    <row r="208" spans="1:5" ht="65">
      <c r="A208" s="132">
        <v>43101</v>
      </c>
      <c r="C208" s="152" t="s">
        <v>201</v>
      </c>
      <c r="D208" s="133" t="s">
        <v>783</v>
      </c>
    </row>
    <row r="209" spans="1:4">
      <c r="A209" s="132">
        <v>43137</v>
      </c>
      <c r="C209" s="131" t="s">
        <v>785</v>
      </c>
      <c r="D209" s="131" t="s">
        <v>791</v>
      </c>
    </row>
    <row r="210" spans="1:4">
      <c r="A210" s="132">
        <v>43144</v>
      </c>
      <c r="C210" s="152" t="s">
        <v>211</v>
      </c>
      <c r="D210" s="131" t="s">
        <v>786</v>
      </c>
    </row>
    <row r="211" spans="1:4">
      <c r="A211" s="132">
        <v>43144</v>
      </c>
      <c r="C211" s="152" t="s">
        <v>300</v>
      </c>
      <c r="D211" s="131" t="s">
        <v>788</v>
      </c>
    </row>
    <row r="212" spans="1:4">
      <c r="A212" s="132">
        <v>43148</v>
      </c>
      <c r="C212" s="154" t="s">
        <v>312</v>
      </c>
      <c r="D212" s="131" t="s">
        <v>804</v>
      </c>
    </row>
    <row r="213" spans="1:4">
      <c r="A213" s="132">
        <v>43150</v>
      </c>
      <c r="C213" s="154" t="s">
        <v>315</v>
      </c>
      <c r="D213" s="131" t="s">
        <v>787</v>
      </c>
    </row>
    <row r="214" spans="1:4">
      <c r="A214" s="132">
        <v>43151</v>
      </c>
      <c r="C214" s="152" t="s">
        <v>301</v>
      </c>
      <c r="D214" s="131" t="s">
        <v>788</v>
      </c>
    </row>
    <row r="215" spans="1:4">
      <c r="A215" s="132">
        <v>43151</v>
      </c>
      <c r="C215" s="152" t="s">
        <v>302</v>
      </c>
      <c r="D215" s="131" t="s">
        <v>788</v>
      </c>
    </row>
    <row r="216" spans="1:4">
      <c r="A216" s="132">
        <v>43151</v>
      </c>
      <c r="C216" s="152" t="s">
        <v>214</v>
      </c>
      <c r="D216" s="131" t="s">
        <v>788</v>
      </c>
    </row>
    <row r="217" spans="1:4">
      <c r="A217" s="132">
        <v>43151</v>
      </c>
      <c r="C217" s="152" t="s">
        <v>298</v>
      </c>
      <c r="D217" s="131" t="s">
        <v>788</v>
      </c>
    </row>
    <row r="218" spans="1:4">
      <c r="A218" s="132">
        <v>43151</v>
      </c>
      <c r="C218" s="152" t="s">
        <v>218</v>
      </c>
      <c r="D218" s="131" t="s">
        <v>788</v>
      </c>
    </row>
    <row r="219" spans="1:4">
      <c r="A219" s="132">
        <v>43143</v>
      </c>
      <c r="C219" s="152" t="s">
        <v>201</v>
      </c>
      <c r="D219" s="131" t="s">
        <v>788</v>
      </c>
    </row>
    <row r="220" spans="1:4">
      <c r="A220" s="132">
        <v>43143</v>
      </c>
      <c r="C220" s="152" t="s">
        <v>789</v>
      </c>
      <c r="D220" s="131" t="s">
        <v>790</v>
      </c>
    </row>
    <row r="221" spans="1:4">
      <c r="A221" s="132">
        <v>43150</v>
      </c>
      <c r="C221" s="152" t="s">
        <v>214</v>
      </c>
      <c r="D221" s="157" t="s">
        <v>792</v>
      </c>
    </row>
    <row r="222" spans="1:4">
      <c r="A222" s="132">
        <v>43150</v>
      </c>
      <c r="C222" s="158" t="s">
        <v>215</v>
      </c>
      <c r="D222" s="157" t="s">
        <v>792</v>
      </c>
    </row>
    <row r="223" spans="1:4">
      <c r="A223" s="132">
        <v>43150</v>
      </c>
      <c r="C223" s="151" t="s">
        <v>217</v>
      </c>
      <c r="D223" s="157" t="s">
        <v>792</v>
      </c>
    </row>
    <row r="224" spans="1:4">
      <c r="A224" s="132">
        <v>43150</v>
      </c>
      <c r="C224" s="152" t="s">
        <v>218</v>
      </c>
      <c r="D224" s="159" t="s">
        <v>794</v>
      </c>
    </row>
    <row r="225" spans="1:4">
      <c r="A225" s="132">
        <v>43150</v>
      </c>
      <c r="C225" s="152" t="s">
        <v>298</v>
      </c>
      <c r="D225" s="157" t="s">
        <v>793</v>
      </c>
    </row>
    <row r="226" spans="1:4">
      <c r="A226" s="132">
        <v>43143</v>
      </c>
      <c r="C226" s="152" t="s">
        <v>299</v>
      </c>
      <c r="D226" s="157" t="s">
        <v>795</v>
      </c>
    </row>
    <row r="227" spans="1:4">
      <c r="A227" s="132">
        <v>43143</v>
      </c>
      <c r="C227" s="152" t="s">
        <v>300</v>
      </c>
      <c r="D227" s="157" t="s">
        <v>795</v>
      </c>
    </row>
    <row r="228" spans="1:4">
      <c r="A228" s="132">
        <v>43150</v>
      </c>
      <c r="C228" s="152" t="s">
        <v>301</v>
      </c>
      <c r="D228" s="157" t="s">
        <v>796</v>
      </c>
    </row>
    <row r="229" spans="1:4">
      <c r="A229" s="132">
        <v>43150</v>
      </c>
      <c r="C229" s="152" t="s">
        <v>302</v>
      </c>
      <c r="D229" s="157" t="s">
        <v>796</v>
      </c>
    </row>
    <row r="230" spans="1:4" ht="39">
      <c r="A230" s="160">
        <v>43157</v>
      </c>
      <c r="C230" s="151" t="s">
        <v>217</v>
      </c>
      <c r="D230" s="133" t="s">
        <v>799</v>
      </c>
    </row>
    <row r="231" spans="1:4">
      <c r="A231" s="160">
        <v>43157</v>
      </c>
      <c r="C231" s="151" t="s">
        <v>797</v>
      </c>
      <c r="D231" s="131" t="s">
        <v>798</v>
      </c>
    </row>
    <row r="232" spans="1:4" ht="26">
      <c r="A232" s="160">
        <v>43157</v>
      </c>
      <c r="C232" s="151" t="s">
        <v>800</v>
      </c>
      <c r="D232" s="133" t="s">
        <v>802</v>
      </c>
    </row>
    <row r="233" spans="1:4" ht="26">
      <c r="A233" s="160">
        <v>43157</v>
      </c>
      <c r="C233" s="151" t="s">
        <v>801</v>
      </c>
      <c r="D233" s="133" t="s">
        <v>803</v>
      </c>
    </row>
    <row r="234" spans="1:4">
      <c r="A234" s="132">
        <v>43164</v>
      </c>
      <c r="C234" s="154" t="s">
        <v>312</v>
      </c>
      <c r="D234" s="131" t="s">
        <v>805</v>
      </c>
    </row>
    <row r="235" spans="1:4">
      <c r="A235" s="132">
        <v>43164</v>
      </c>
      <c r="C235" s="154" t="s">
        <v>315</v>
      </c>
      <c r="D235" s="131" t="s">
        <v>806</v>
      </c>
    </row>
    <row r="236" spans="1:4">
      <c r="A236" s="132">
        <v>43167</v>
      </c>
      <c r="C236" s="151" t="s">
        <v>575</v>
      </c>
      <c r="D236" s="131" t="s">
        <v>807</v>
      </c>
    </row>
    <row r="237" spans="1:4">
      <c r="A237" s="132">
        <v>43248</v>
      </c>
      <c r="C237" s="156" t="s">
        <v>182</v>
      </c>
      <c r="D237" s="131" t="s">
        <v>808</v>
      </c>
    </row>
    <row r="238" spans="1:4">
      <c r="A238" s="132">
        <v>43273</v>
      </c>
      <c r="C238" s="154" t="s">
        <v>319</v>
      </c>
      <c r="D238" s="131" t="s">
        <v>809</v>
      </c>
    </row>
    <row r="239" spans="1:4" ht="117">
      <c r="A239" s="132">
        <v>43333</v>
      </c>
      <c r="C239" s="154" t="s">
        <v>319</v>
      </c>
      <c r="D239" s="133" t="s">
        <v>829</v>
      </c>
    </row>
    <row r="240" spans="1:4">
      <c r="A240" s="132">
        <v>43313</v>
      </c>
      <c r="C240" s="154" t="s">
        <v>313</v>
      </c>
      <c r="D240" s="131" t="s">
        <v>823</v>
      </c>
    </row>
    <row r="241" spans="1:4" ht="26">
      <c r="A241" s="132">
        <v>43336</v>
      </c>
      <c r="C241" s="131" t="s">
        <v>815</v>
      </c>
      <c r="D241" s="133" t="s">
        <v>826</v>
      </c>
    </row>
    <row r="242" spans="1:4" ht="26">
      <c r="A242" s="132">
        <v>43346</v>
      </c>
      <c r="C242" s="131" t="s">
        <v>817</v>
      </c>
      <c r="D242" s="133" t="s">
        <v>818</v>
      </c>
    </row>
    <row r="243" spans="1:4" ht="26">
      <c r="A243" s="132">
        <v>43346</v>
      </c>
      <c r="C243" s="154" t="s">
        <v>681</v>
      </c>
      <c r="D243" s="133" t="s">
        <v>831</v>
      </c>
    </row>
    <row r="244" spans="1:4">
      <c r="A244" s="132">
        <v>43346</v>
      </c>
      <c r="C244" s="131" t="s">
        <v>830</v>
      </c>
      <c r="D244" s="131" t="s">
        <v>832</v>
      </c>
    </row>
    <row r="245" spans="1:4" ht="52">
      <c r="A245" s="132">
        <v>43346</v>
      </c>
      <c r="C245" s="131" t="s">
        <v>822</v>
      </c>
      <c r="D245" s="133" t="s">
        <v>824</v>
      </c>
    </row>
    <row r="246" spans="1:4">
      <c r="A246" s="132">
        <v>43346</v>
      </c>
      <c r="C246" s="131" t="s">
        <v>821</v>
      </c>
      <c r="D246" s="133" t="s">
        <v>825</v>
      </c>
    </row>
    <row r="247" spans="1:4">
      <c r="A247" s="132">
        <v>43350</v>
      </c>
      <c r="C247" s="131" t="s">
        <v>827</v>
      </c>
      <c r="D247" s="131" t="s">
        <v>828</v>
      </c>
    </row>
    <row r="248" spans="1:4">
      <c r="A248" s="132">
        <v>43353</v>
      </c>
      <c r="C248" s="154" t="s">
        <v>319</v>
      </c>
      <c r="D248" s="131" t="s">
        <v>833</v>
      </c>
    </row>
    <row r="249" spans="1:4" ht="26">
      <c r="A249" s="132">
        <v>43354</v>
      </c>
      <c r="C249" s="131" t="s">
        <v>835</v>
      </c>
      <c r="D249" s="133" t="s">
        <v>838</v>
      </c>
    </row>
    <row r="250" spans="1:4" ht="39">
      <c r="A250" s="132">
        <v>43355</v>
      </c>
      <c r="C250" s="154" t="s">
        <v>836</v>
      </c>
      <c r="D250" s="133" t="s">
        <v>839</v>
      </c>
    </row>
    <row r="251" spans="1:4">
      <c r="A251" s="132">
        <v>43355</v>
      </c>
      <c r="C251" s="154" t="s">
        <v>840</v>
      </c>
      <c r="D251" s="131" t="s">
        <v>841</v>
      </c>
    </row>
    <row r="252" spans="1:4">
      <c r="A252" s="132">
        <v>43437</v>
      </c>
      <c r="C252" s="43" t="s">
        <v>595</v>
      </c>
      <c r="D252" s="131" t="s">
        <v>842</v>
      </c>
    </row>
    <row r="253" spans="1:4">
      <c r="A253" s="132">
        <v>43458</v>
      </c>
      <c r="C253" s="43" t="s">
        <v>311</v>
      </c>
      <c r="D253" s="131" t="s">
        <v>866</v>
      </c>
    </row>
    <row r="254" spans="1:4">
      <c r="A254" s="132">
        <v>43458</v>
      </c>
      <c r="C254" s="43" t="s">
        <v>312</v>
      </c>
      <c r="D254" s="131" t="s">
        <v>843</v>
      </c>
    </row>
    <row r="255" spans="1:4">
      <c r="A255" s="132">
        <v>43458</v>
      </c>
      <c r="C255" s="43" t="s">
        <v>313</v>
      </c>
      <c r="D255" s="131" t="s">
        <v>843</v>
      </c>
    </row>
    <row r="256" spans="1:4" ht="39">
      <c r="A256" s="132">
        <v>43459</v>
      </c>
      <c r="D256" s="133" t="s">
        <v>844</v>
      </c>
    </row>
    <row r="257" spans="1:4">
      <c r="A257" s="132">
        <v>43461</v>
      </c>
      <c r="C257" s="131" t="s">
        <v>845</v>
      </c>
      <c r="D257" s="131" t="s">
        <v>846</v>
      </c>
    </row>
    <row r="258" spans="1:4">
      <c r="A258" s="132">
        <v>43461</v>
      </c>
      <c r="C258" s="131" t="s">
        <v>199</v>
      </c>
      <c r="D258" s="131" t="s">
        <v>808</v>
      </c>
    </row>
    <row r="259" spans="1:4" ht="26">
      <c r="A259" s="132">
        <v>43500</v>
      </c>
      <c r="C259" s="45" t="s">
        <v>182</v>
      </c>
      <c r="D259" s="133" t="s">
        <v>848</v>
      </c>
    </row>
    <row r="260" spans="1:4">
      <c r="A260" s="132">
        <v>43528</v>
      </c>
      <c r="C260" s="43" t="s">
        <v>595</v>
      </c>
      <c r="D260" s="131" t="s">
        <v>850</v>
      </c>
    </row>
    <row r="261" spans="1:4">
      <c r="A261" s="132">
        <v>43528</v>
      </c>
      <c r="C261" s="43" t="s">
        <v>609</v>
      </c>
      <c r="D261" s="131" t="s">
        <v>849</v>
      </c>
    </row>
    <row r="262" spans="1:4">
      <c r="A262" s="132">
        <v>43539</v>
      </c>
      <c r="C262" s="28" t="s">
        <v>564</v>
      </c>
      <c r="D262" s="131" t="s">
        <v>851</v>
      </c>
    </row>
    <row r="263" spans="1:4">
      <c r="A263" s="132">
        <v>43546</v>
      </c>
      <c r="C263" s="43" t="s">
        <v>315</v>
      </c>
      <c r="D263" s="131" t="s">
        <v>852</v>
      </c>
    </row>
    <row r="264" spans="1:4">
      <c r="A264" s="132">
        <v>43546</v>
      </c>
      <c r="C264" s="29" t="s">
        <v>213</v>
      </c>
      <c r="D264" s="131" t="s">
        <v>854</v>
      </c>
    </row>
    <row r="265" spans="1:4">
      <c r="A265" s="132">
        <v>43581</v>
      </c>
      <c r="C265" s="131" t="s">
        <v>855</v>
      </c>
      <c r="D265" s="131" t="s">
        <v>856</v>
      </c>
    </row>
    <row r="266" spans="1:4">
      <c r="A266" s="132">
        <v>43581</v>
      </c>
      <c r="C266" s="131" t="s">
        <v>857</v>
      </c>
      <c r="D266" s="131" t="s">
        <v>858</v>
      </c>
    </row>
    <row r="267" spans="1:4" ht="52">
      <c r="A267" s="132">
        <v>43624</v>
      </c>
      <c r="C267" s="31" t="s">
        <v>859</v>
      </c>
      <c r="D267" s="133" t="s">
        <v>871</v>
      </c>
    </row>
    <row r="268" spans="1:4" ht="52">
      <c r="A268" s="132">
        <v>43624</v>
      </c>
      <c r="C268" s="29" t="s">
        <v>213</v>
      </c>
      <c r="D268" s="133" t="s">
        <v>861</v>
      </c>
    </row>
    <row r="269" spans="1:4">
      <c r="A269" s="132">
        <v>43647</v>
      </c>
      <c r="C269" s="43" t="s">
        <v>726</v>
      </c>
      <c r="D269" s="131" t="s">
        <v>862</v>
      </c>
    </row>
    <row r="270" spans="1:4">
      <c r="A270" s="132">
        <v>43647</v>
      </c>
      <c r="C270" s="43" t="s">
        <v>609</v>
      </c>
      <c r="D270" s="131" t="s">
        <v>863</v>
      </c>
    </row>
    <row r="271" spans="1:4">
      <c r="A271" s="132">
        <v>43668</v>
      </c>
      <c r="C271" s="29" t="s">
        <v>181</v>
      </c>
      <c r="D271" s="131" t="s">
        <v>862</v>
      </c>
    </row>
    <row r="272" spans="1:4" ht="39">
      <c r="A272" s="132">
        <v>43685</v>
      </c>
      <c r="C272" s="131" t="s">
        <v>865</v>
      </c>
      <c r="D272" s="133" t="s">
        <v>869</v>
      </c>
    </row>
    <row r="273" spans="1:4">
      <c r="A273" s="132">
        <v>43714</v>
      </c>
      <c r="C273" s="27" t="s">
        <v>814</v>
      </c>
      <c r="D273" s="131" t="s">
        <v>891</v>
      </c>
    </row>
    <row r="274" spans="1:4">
      <c r="A274" s="132">
        <v>43729</v>
      </c>
      <c r="C274" s="131" t="s">
        <v>892</v>
      </c>
      <c r="D274" s="131" t="s">
        <v>899</v>
      </c>
    </row>
    <row r="275" spans="1:4">
      <c r="A275" s="132">
        <v>43729</v>
      </c>
      <c r="C275" s="131" t="s">
        <v>893</v>
      </c>
      <c r="D275" s="131" t="s">
        <v>900</v>
      </c>
    </row>
    <row r="276" spans="1:4">
      <c r="A276" s="132">
        <v>43729</v>
      </c>
      <c r="C276" s="131" t="s">
        <v>894</v>
      </c>
      <c r="D276" s="131" t="s">
        <v>897</v>
      </c>
    </row>
    <row r="277" spans="1:4">
      <c r="A277" s="132">
        <v>43729</v>
      </c>
      <c r="C277" s="131" t="s">
        <v>895</v>
      </c>
      <c r="D277" s="131" t="s">
        <v>897</v>
      </c>
    </row>
    <row r="278" spans="1:4">
      <c r="A278" s="132">
        <v>43729</v>
      </c>
      <c r="C278" s="131" t="s">
        <v>896</v>
      </c>
      <c r="D278" s="131" t="s">
        <v>898</v>
      </c>
    </row>
    <row r="279" spans="1:4">
      <c r="A279" s="132">
        <v>43812</v>
      </c>
      <c r="C279" s="43" t="s">
        <v>319</v>
      </c>
      <c r="D279" s="131" t="s">
        <v>906</v>
      </c>
    </row>
    <row r="280" spans="1:4">
      <c r="A280" s="132">
        <v>43812</v>
      </c>
      <c r="C280" s="27" t="s">
        <v>387</v>
      </c>
      <c r="D280" s="131" t="s">
        <v>902</v>
      </c>
    </row>
    <row r="281" spans="1:4">
      <c r="A281" s="132">
        <v>43812</v>
      </c>
      <c r="C281" s="28" t="s">
        <v>388</v>
      </c>
      <c r="D281" s="131" t="s">
        <v>903</v>
      </c>
    </row>
    <row r="282" spans="1:4">
      <c r="A282" s="132">
        <v>43812</v>
      </c>
      <c r="C282" s="29" t="s">
        <v>190</v>
      </c>
      <c r="D282" s="131" t="s">
        <v>911</v>
      </c>
    </row>
    <row r="283" spans="1:4">
      <c r="A283" s="132">
        <v>43812</v>
      </c>
      <c r="C283" s="28" t="s">
        <v>564</v>
      </c>
      <c r="D283" s="131" t="s">
        <v>901</v>
      </c>
    </row>
    <row r="284" spans="1:4">
      <c r="A284" s="132">
        <v>43812</v>
      </c>
      <c r="C284" s="27" t="s">
        <v>814</v>
      </c>
      <c r="D284" s="131" t="s">
        <v>904</v>
      </c>
    </row>
    <row r="285" spans="1:4" ht="26">
      <c r="A285" s="132">
        <v>43812</v>
      </c>
      <c r="D285" s="133" t="s">
        <v>908</v>
      </c>
    </row>
    <row r="286" spans="1:4">
      <c r="A286" s="132">
        <v>43812</v>
      </c>
      <c r="D286" s="131" t="s">
        <v>909</v>
      </c>
    </row>
    <row r="287" spans="1:4">
      <c r="A287" s="132">
        <v>43812</v>
      </c>
      <c r="C287" s="29" t="s">
        <v>192</v>
      </c>
      <c r="D287" s="131" t="s">
        <v>910</v>
      </c>
    </row>
    <row r="288" spans="1:4">
      <c r="A288" s="132">
        <v>43812</v>
      </c>
      <c r="C288" s="30" t="s">
        <v>193</v>
      </c>
      <c r="D288" s="131" t="s">
        <v>910</v>
      </c>
    </row>
    <row r="289" spans="1:4">
      <c r="A289" s="132">
        <v>43812</v>
      </c>
      <c r="C289" s="29" t="s">
        <v>905</v>
      </c>
      <c r="D289" s="131" t="s">
        <v>907</v>
      </c>
    </row>
    <row r="290" spans="1:4" ht="65">
      <c r="A290" s="132">
        <v>43836</v>
      </c>
      <c r="C290" s="43" t="s">
        <v>321</v>
      </c>
      <c r="D290" s="133" t="s">
        <v>912</v>
      </c>
    </row>
    <row r="291" spans="1:4">
      <c r="A291" s="132">
        <v>43858</v>
      </c>
      <c r="C291" s="27" t="s">
        <v>915</v>
      </c>
      <c r="D291" s="131" t="s">
        <v>914</v>
      </c>
    </row>
    <row r="292" spans="1:4">
      <c r="A292" s="132">
        <v>43906</v>
      </c>
      <c r="C292" s="43" t="s">
        <v>319</v>
      </c>
      <c r="D292" s="131" t="s">
        <v>990</v>
      </c>
    </row>
    <row r="293" spans="1:4">
      <c r="A293" s="132">
        <v>43906</v>
      </c>
      <c r="C293" s="28" t="s">
        <v>388</v>
      </c>
      <c r="D293" s="131" t="s">
        <v>991</v>
      </c>
    </row>
    <row r="294" spans="1:4">
      <c r="A294" s="132">
        <v>43906</v>
      </c>
      <c r="C294" s="43" t="s">
        <v>934</v>
      </c>
      <c r="D294" s="131" t="s">
        <v>992</v>
      </c>
    </row>
    <row r="295" spans="1:4">
      <c r="A295" s="132">
        <v>43906</v>
      </c>
      <c r="C295" s="43" t="s">
        <v>876</v>
      </c>
      <c r="D295" s="131" t="s">
        <v>992</v>
      </c>
    </row>
    <row r="296" spans="1:4" ht="26">
      <c r="A296" s="132">
        <v>43914</v>
      </c>
      <c r="C296" s="27" t="s">
        <v>386</v>
      </c>
      <c r="D296" s="133" t="s">
        <v>995</v>
      </c>
    </row>
    <row r="297" spans="1:4">
      <c r="A297" s="132">
        <v>43927</v>
      </c>
      <c r="C297" s="27" t="s">
        <v>605</v>
      </c>
      <c r="D297" s="131" t="s">
        <v>996</v>
      </c>
    </row>
    <row r="298" spans="1:4" ht="39">
      <c r="A298" s="132">
        <v>43983</v>
      </c>
      <c r="D298" s="133" t="s">
        <v>997</v>
      </c>
    </row>
    <row r="299" spans="1:4">
      <c r="A299" s="132">
        <v>43998</v>
      </c>
      <c r="C299" s="29" t="s">
        <v>181</v>
      </c>
      <c r="D299" s="131" t="s">
        <v>617</v>
      </c>
    </row>
    <row r="300" spans="1:4">
      <c r="A300" s="132">
        <v>43998</v>
      </c>
      <c r="C300" s="45" t="s">
        <v>182</v>
      </c>
      <c r="D300" s="131" t="s">
        <v>617</v>
      </c>
    </row>
    <row r="301" spans="1:4">
      <c r="A301" s="132">
        <v>44011</v>
      </c>
      <c r="C301" s="29" t="s">
        <v>189</v>
      </c>
      <c r="D301" s="131" t="s">
        <v>617</v>
      </c>
    </row>
    <row r="302" spans="1:4">
      <c r="A302" s="132">
        <v>44025</v>
      </c>
      <c r="C302" s="43" t="s">
        <v>607</v>
      </c>
      <c r="D302" s="169" t="s">
        <v>999</v>
      </c>
    </row>
    <row r="303" spans="1:4" ht="26">
      <c r="A303" s="132">
        <v>44027</v>
      </c>
      <c r="C303" s="29" t="s">
        <v>203</v>
      </c>
      <c r="D303" s="133" t="s">
        <v>1056</v>
      </c>
    </row>
    <row r="304" spans="1:4">
      <c r="A304" s="132">
        <v>44027</v>
      </c>
      <c r="C304" s="29" t="s">
        <v>204</v>
      </c>
      <c r="D304" s="131" t="s">
        <v>1053</v>
      </c>
    </row>
    <row r="305" spans="1:4" ht="26">
      <c r="A305" s="132">
        <v>44027</v>
      </c>
      <c r="C305" s="37" t="s">
        <v>855</v>
      </c>
      <c r="D305" s="133" t="s">
        <v>1054</v>
      </c>
    </row>
    <row r="306" spans="1:4">
      <c r="A306" s="132">
        <v>44027</v>
      </c>
      <c r="C306" s="29" t="s">
        <v>212</v>
      </c>
      <c r="D306" s="131" t="s">
        <v>1057</v>
      </c>
    </row>
    <row r="307" spans="1:4">
      <c r="A307" s="132">
        <v>44027</v>
      </c>
      <c r="C307" s="29" t="s">
        <v>264</v>
      </c>
      <c r="D307" s="131" t="s">
        <v>1055</v>
      </c>
    </row>
    <row r="308" spans="1:4">
      <c r="A308" s="132">
        <v>44027</v>
      </c>
      <c r="C308" s="31" t="s">
        <v>296</v>
      </c>
      <c r="D308" s="131" t="s">
        <v>1046</v>
      </c>
    </row>
    <row r="309" spans="1:4">
      <c r="A309" s="132">
        <v>44027</v>
      </c>
      <c r="C309" s="29" t="s">
        <v>732</v>
      </c>
      <c r="D309" s="131" t="s">
        <v>1046</v>
      </c>
    </row>
    <row r="310" spans="1:4">
      <c r="A310" s="132">
        <v>44032</v>
      </c>
      <c r="C310" s="131" t="s">
        <v>998</v>
      </c>
      <c r="D310" s="131" t="s">
        <v>1000</v>
      </c>
    </row>
    <row r="311" spans="1:4">
      <c r="A311" s="132">
        <v>44035</v>
      </c>
      <c r="C311" s="29" t="s">
        <v>287</v>
      </c>
      <c r="D311" s="131" t="s">
        <v>1046</v>
      </c>
    </row>
    <row r="312" spans="1:4">
      <c r="A312" s="132">
        <v>44035</v>
      </c>
      <c r="C312" s="27" t="s">
        <v>288</v>
      </c>
      <c r="D312" s="131" t="s">
        <v>1046</v>
      </c>
    </row>
    <row r="313" spans="1:4">
      <c r="A313" s="132">
        <v>44038</v>
      </c>
      <c r="C313" s="27" t="s">
        <v>814</v>
      </c>
      <c r="D313" s="169" t="s">
        <v>999</v>
      </c>
    </row>
    <row r="314" spans="1:4" ht="65">
      <c r="A314" s="132">
        <v>44056</v>
      </c>
      <c r="C314" s="43" t="s">
        <v>1001</v>
      </c>
      <c r="D314" s="133" t="s">
        <v>1002</v>
      </c>
    </row>
    <row r="315" spans="1:4" ht="39">
      <c r="A315" s="132">
        <v>44078</v>
      </c>
      <c r="C315" s="43" t="s">
        <v>607</v>
      </c>
      <c r="D315" s="133" t="s">
        <v>1027</v>
      </c>
    </row>
    <row r="316" spans="1:4">
      <c r="A316" s="132">
        <v>44083</v>
      </c>
      <c r="C316" s="29" t="s">
        <v>219</v>
      </c>
      <c r="D316" s="131" t="s">
        <v>1048</v>
      </c>
    </row>
    <row r="317" spans="1:4">
      <c r="A317" s="132">
        <v>44116</v>
      </c>
      <c r="C317" s="29" t="s">
        <v>212</v>
      </c>
      <c r="D317" s="131" t="s">
        <v>1078</v>
      </c>
    </row>
    <row r="318" spans="1:4">
      <c r="A318" s="132">
        <v>44116</v>
      </c>
      <c r="C318" s="29" t="s">
        <v>204</v>
      </c>
      <c r="D318" s="131" t="s">
        <v>1077</v>
      </c>
    </row>
    <row r="319" spans="1:4">
      <c r="A319" s="132">
        <v>44181</v>
      </c>
      <c r="C319" s="27" t="s">
        <v>814</v>
      </c>
      <c r="D319" s="169" t="s">
        <v>1089</v>
      </c>
    </row>
    <row r="320" spans="1:4">
      <c r="A320" s="132">
        <v>44186</v>
      </c>
      <c r="C320" s="29" t="s">
        <v>263</v>
      </c>
      <c r="D320" s="133" t="s">
        <v>1090</v>
      </c>
    </row>
    <row r="321" spans="1:4">
      <c r="A321" s="132">
        <v>44186</v>
      </c>
      <c r="C321" s="29" t="s">
        <v>1091</v>
      </c>
      <c r="D321" s="133" t="s">
        <v>1090</v>
      </c>
    </row>
    <row r="322" spans="1:4">
      <c r="A322" s="132">
        <v>44186</v>
      </c>
      <c r="C322" s="29" t="s">
        <v>203</v>
      </c>
      <c r="D322" s="133" t="s">
        <v>1093</v>
      </c>
    </row>
    <row r="323" spans="1:4">
      <c r="A323" s="132">
        <v>44208</v>
      </c>
      <c r="C323" s="34" t="s">
        <v>288</v>
      </c>
      <c r="D323" s="131" t="s">
        <v>1092</v>
      </c>
    </row>
    <row r="324" spans="1:4">
      <c r="A324" s="132">
        <v>44250</v>
      </c>
      <c r="C324" s="29" t="s">
        <v>203</v>
      </c>
      <c r="D324" s="131" t="s">
        <v>1098</v>
      </c>
    </row>
    <row r="325" spans="1:4">
      <c r="A325" s="132">
        <v>44263</v>
      </c>
      <c r="C325" s="173" t="s">
        <v>550</v>
      </c>
      <c r="D325" s="131" t="s">
        <v>1108</v>
      </c>
    </row>
    <row r="326" spans="1:4">
      <c r="A326" s="132">
        <v>44263</v>
      </c>
      <c r="C326" s="173" t="s">
        <v>311</v>
      </c>
      <c r="D326" s="131" t="s">
        <v>1108</v>
      </c>
    </row>
    <row r="327" spans="1:4">
      <c r="A327" s="132">
        <v>44278</v>
      </c>
      <c r="C327" s="27" t="s">
        <v>387</v>
      </c>
      <c r="D327" s="131" t="s">
        <v>1109</v>
      </c>
    </row>
    <row r="328" spans="1:4" ht="65">
      <c r="A328" s="132">
        <v>44278</v>
      </c>
      <c r="C328" s="31" t="s">
        <v>859</v>
      </c>
      <c r="D328" s="133" t="s">
        <v>1111</v>
      </c>
    </row>
    <row r="329" spans="1:4" ht="39">
      <c r="A329" s="132">
        <v>44294</v>
      </c>
      <c r="C329" s="173" t="s">
        <v>836</v>
      </c>
      <c r="D329" s="133" t="s">
        <v>1113</v>
      </c>
    </row>
    <row r="330" spans="1:4">
      <c r="A330" s="132">
        <v>44401</v>
      </c>
      <c r="C330" s="173" t="s">
        <v>1174</v>
      </c>
      <c r="D330" s="133" t="s">
        <v>1175</v>
      </c>
    </row>
    <row r="331" spans="1:4">
      <c r="A331" s="132">
        <v>44411</v>
      </c>
      <c r="C331" s="29" t="s">
        <v>1173</v>
      </c>
      <c r="D331" s="131" t="s">
        <v>846</v>
      </c>
    </row>
    <row r="332" spans="1:4">
      <c r="A332" s="132">
        <v>44446</v>
      </c>
      <c r="C332" s="131" t="s">
        <v>199</v>
      </c>
      <c r="D332" s="161" t="s">
        <v>1319</v>
      </c>
    </row>
    <row r="333" spans="1:4">
      <c r="A333" s="132">
        <v>44446</v>
      </c>
      <c r="C333" s="131" t="s">
        <v>190</v>
      </c>
      <c r="D333" s="161" t="s">
        <v>1319</v>
      </c>
    </row>
    <row r="334" spans="1:4">
      <c r="A334" s="132">
        <v>44446</v>
      </c>
      <c r="C334" s="131" t="s">
        <v>1320</v>
      </c>
      <c r="D334" s="161" t="s">
        <v>1319</v>
      </c>
    </row>
    <row r="335" spans="1:4">
      <c r="A335" s="132">
        <v>44446</v>
      </c>
      <c r="C335" s="131" t="s">
        <v>213</v>
      </c>
      <c r="D335" s="161" t="s">
        <v>1376</v>
      </c>
    </row>
    <row r="336" spans="1:4">
      <c r="A336" s="132">
        <v>44544</v>
      </c>
      <c r="C336" s="131" t="s">
        <v>1371</v>
      </c>
      <c r="D336" s="131" t="s">
        <v>1372</v>
      </c>
    </row>
    <row r="337" spans="1:4">
      <c r="A337" s="132">
        <v>44544</v>
      </c>
      <c r="C337" s="131" t="s">
        <v>1373</v>
      </c>
      <c r="D337" s="131" t="s">
        <v>1374</v>
      </c>
    </row>
    <row r="338" spans="1:4">
      <c r="A338" s="132">
        <v>44568</v>
      </c>
      <c r="C338" s="141" t="s">
        <v>1207</v>
      </c>
      <c r="D338" s="131" t="s">
        <v>1375</v>
      </c>
    </row>
  </sheetData>
  <autoFilter ref="A1:D331" xr:uid="{00000000-0009-0000-0000-00000C000000}"/>
  <sortState xmlns:xlrd2="http://schemas.microsoft.com/office/spreadsheetml/2017/richdata2" ref="A2:E195">
    <sortCondition ref="A2:A195"/>
  </sortState>
  <phoneticPr fontId="4"/>
  <conditionalFormatting sqref="C2 C8:C9 C73 C86:C89 C125:C129 C171:C173 C211">
    <cfRule type="expression" dxfId="261" priority="216" stopIfTrue="1">
      <formula>MOD(ROW(),2) = 1</formula>
    </cfRule>
  </conditionalFormatting>
  <conditionalFormatting sqref="C3:C4">
    <cfRule type="expression" dxfId="260" priority="215" stopIfTrue="1">
      <formula>MOD(ROW(),2) = 1</formula>
    </cfRule>
  </conditionalFormatting>
  <conditionalFormatting sqref="C6:C7">
    <cfRule type="expression" dxfId="259" priority="213" stopIfTrue="1">
      <formula>MOD(ROW(),2) = 1</formula>
    </cfRule>
  </conditionalFormatting>
  <conditionalFormatting sqref="C5 C10:C12">
    <cfRule type="expression" dxfId="258" priority="214" stopIfTrue="1">
      <formula>MOD(ROW(),2) = 1</formula>
    </cfRule>
  </conditionalFormatting>
  <conditionalFormatting sqref="C35">
    <cfRule type="expression" dxfId="257" priority="168" stopIfTrue="1">
      <formula>MOD(ROW(),2) = 1</formula>
    </cfRule>
  </conditionalFormatting>
  <conditionalFormatting sqref="C13">
    <cfRule type="expression" dxfId="256" priority="210" stopIfTrue="1">
      <formula>MOD(ROW(),2) = 1</formula>
    </cfRule>
  </conditionalFormatting>
  <conditionalFormatting sqref="C14">
    <cfRule type="expression" dxfId="255" priority="209" stopIfTrue="1">
      <formula>MOD(ROW(),2) = 1</formula>
    </cfRule>
  </conditionalFormatting>
  <conditionalFormatting sqref="C15">
    <cfRule type="expression" dxfId="254" priority="208" stopIfTrue="1">
      <formula>MOD(ROW(),2) = 1</formula>
    </cfRule>
  </conditionalFormatting>
  <conditionalFormatting sqref="C16">
    <cfRule type="expression" dxfId="253" priority="207" stopIfTrue="1">
      <formula>MOD(ROW(),2) = 1</formula>
    </cfRule>
  </conditionalFormatting>
  <conditionalFormatting sqref="C17:C18">
    <cfRule type="expression" dxfId="252" priority="206" stopIfTrue="1">
      <formula>MOD(ROW(),2) = 1</formula>
    </cfRule>
  </conditionalFormatting>
  <conditionalFormatting sqref="C22">
    <cfRule type="expression" dxfId="251" priority="205" stopIfTrue="1">
      <formula>MOD(ROW(),2) = 1</formula>
    </cfRule>
  </conditionalFormatting>
  <conditionalFormatting sqref="C19">
    <cfRule type="expression" dxfId="250" priority="204" stopIfTrue="1">
      <formula>MOD(ROW(),2) = 1</formula>
    </cfRule>
  </conditionalFormatting>
  <conditionalFormatting sqref="C33">
    <cfRule type="expression" dxfId="249" priority="203" stopIfTrue="1">
      <formula>MOD(ROW(),2) = 1</formula>
    </cfRule>
  </conditionalFormatting>
  <conditionalFormatting sqref="C23">
    <cfRule type="expression" dxfId="248" priority="202" stopIfTrue="1">
      <formula>MOD(ROW(),2) = 1</formula>
    </cfRule>
  </conditionalFormatting>
  <conditionalFormatting sqref="C25">
    <cfRule type="expression" dxfId="247" priority="201" stopIfTrue="1">
      <formula>MOD(ROW(),2) = 1</formula>
    </cfRule>
  </conditionalFormatting>
  <conditionalFormatting sqref="C26">
    <cfRule type="expression" dxfId="246" priority="200" stopIfTrue="1">
      <formula>MOD(ROW(),2) = 1</formula>
    </cfRule>
  </conditionalFormatting>
  <conditionalFormatting sqref="C28">
    <cfRule type="expression" dxfId="245" priority="199" stopIfTrue="1">
      <formula>MOD(ROW(),2) = 1</formula>
    </cfRule>
  </conditionalFormatting>
  <conditionalFormatting sqref="C30">
    <cfRule type="expression" dxfId="244" priority="198" stopIfTrue="1">
      <formula>MOD(ROW(),2) = 1</formula>
    </cfRule>
  </conditionalFormatting>
  <conditionalFormatting sqref="C31">
    <cfRule type="expression" dxfId="243" priority="197" stopIfTrue="1">
      <formula>MOD(ROW(),2) = 1</formula>
    </cfRule>
  </conditionalFormatting>
  <conditionalFormatting sqref="C37">
    <cfRule type="expression" dxfId="242" priority="195" stopIfTrue="1">
      <formula>MOD(ROW(),2) = 1</formula>
    </cfRule>
  </conditionalFormatting>
  <conditionalFormatting sqref="C38">
    <cfRule type="expression" dxfId="241" priority="194" stopIfTrue="1">
      <formula>MOD(ROW(),2) = 1</formula>
    </cfRule>
  </conditionalFormatting>
  <conditionalFormatting sqref="C40">
    <cfRule type="expression" dxfId="240" priority="193" stopIfTrue="1">
      <formula>MOD(ROW(),2) = 1</formula>
    </cfRule>
  </conditionalFormatting>
  <conditionalFormatting sqref="C41">
    <cfRule type="expression" dxfId="239" priority="192" stopIfTrue="1">
      <formula>MOD(ROW(),2) = 1</formula>
    </cfRule>
  </conditionalFormatting>
  <conditionalFormatting sqref="C43">
    <cfRule type="expression" dxfId="238" priority="191" stopIfTrue="1">
      <formula>MOD(ROW(),2) = 1</formula>
    </cfRule>
  </conditionalFormatting>
  <conditionalFormatting sqref="C45">
    <cfRule type="expression" dxfId="237" priority="190" stopIfTrue="1">
      <formula>MOD(ROW(),2) = 1</formula>
    </cfRule>
  </conditionalFormatting>
  <conditionalFormatting sqref="C46">
    <cfRule type="expression" dxfId="236" priority="189" stopIfTrue="1">
      <formula>MOD(ROW(),2) = 1</formula>
    </cfRule>
  </conditionalFormatting>
  <conditionalFormatting sqref="C48">
    <cfRule type="expression" dxfId="235" priority="188" stopIfTrue="1">
      <formula>MOD(ROW(),2) = 1</formula>
    </cfRule>
  </conditionalFormatting>
  <conditionalFormatting sqref="C54:C56">
    <cfRule type="expression" dxfId="234" priority="167" stopIfTrue="1">
      <formula>MOD(ROW(),2) = 1</formula>
    </cfRule>
  </conditionalFormatting>
  <conditionalFormatting sqref="C57:C64">
    <cfRule type="expression" dxfId="233" priority="166" stopIfTrue="1">
      <formula>MOD(ROW(),2) = 1</formula>
    </cfRule>
  </conditionalFormatting>
  <conditionalFormatting sqref="C65">
    <cfRule type="expression" dxfId="232" priority="165" stopIfTrue="1">
      <formula>MOD(ROW(),2) = 1</formula>
    </cfRule>
  </conditionalFormatting>
  <conditionalFormatting sqref="C66">
    <cfRule type="expression" dxfId="231" priority="164" stopIfTrue="1">
      <formula>MOD(ROW(),2) = 1</formula>
    </cfRule>
  </conditionalFormatting>
  <conditionalFormatting sqref="D66">
    <cfRule type="expression" dxfId="230" priority="163" stopIfTrue="1">
      <formula>MOD(ROW(),2) = 1</formula>
    </cfRule>
  </conditionalFormatting>
  <conditionalFormatting sqref="C67:C69">
    <cfRule type="expression" dxfId="229" priority="162" stopIfTrue="1">
      <formula>MOD(ROW(),2) = 1</formula>
    </cfRule>
  </conditionalFormatting>
  <conditionalFormatting sqref="C70">
    <cfRule type="expression" dxfId="228" priority="161" stopIfTrue="1">
      <formula>MOD(ROW(),2) = 1</formula>
    </cfRule>
  </conditionalFormatting>
  <conditionalFormatting sqref="C74:C76">
    <cfRule type="expression" dxfId="227" priority="159" stopIfTrue="1">
      <formula>MOD(ROW(),2) = 1</formula>
    </cfRule>
  </conditionalFormatting>
  <conditionalFormatting sqref="C81">
    <cfRule type="expression" dxfId="226" priority="158" stopIfTrue="1">
      <formula>MOD(ROW(),2) = 1</formula>
    </cfRule>
  </conditionalFormatting>
  <conditionalFormatting sqref="C90">
    <cfRule type="expression" dxfId="225" priority="156" stopIfTrue="1">
      <formula>MOD(ROW(),2) = 1</formula>
    </cfRule>
  </conditionalFormatting>
  <conditionalFormatting sqref="C97:C101">
    <cfRule type="expression" dxfId="224" priority="155" stopIfTrue="1">
      <formula>MOD(ROW(),2) = 1</formula>
    </cfRule>
  </conditionalFormatting>
  <conditionalFormatting sqref="C105">
    <cfRule type="expression" dxfId="223" priority="153" stopIfTrue="1">
      <formula>MOD(ROW(),2) = 1</formula>
    </cfRule>
  </conditionalFormatting>
  <conditionalFormatting sqref="C107">
    <cfRule type="expression" dxfId="222" priority="152" stopIfTrue="1">
      <formula>MOD(ROW(),2) = 1</formula>
    </cfRule>
  </conditionalFormatting>
  <conditionalFormatting sqref="C108">
    <cfRule type="expression" dxfId="221" priority="151" stopIfTrue="1">
      <formula>MOD(ROW(),2) = 1</formula>
    </cfRule>
  </conditionalFormatting>
  <conditionalFormatting sqref="C110">
    <cfRule type="expression" dxfId="220" priority="150" stopIfTrue="1">
      <formula>MOD(ROW(),2) = 1</formula>
    </cfRule>
  </conditionalFormatting>
  <conditionalFormatting sqref="C111">
    <cfRule type="expression" dxfId="219" priority="149" stopIfTrue="1">
      <formula>MOD(ROW(),2) = 1</formula>
    </cfRule>
  </conditionalFormatting>
  <conditionalFormatting sqref="C114:C116">
    <cfRule type="expression" dxfId="218" priority="148" stopIfTrue="1">
      <formula>MOD(ROW(),2) = 1</formula>
    </cfRule>
  </conditionalFormatting>
  <conditionalFormatting sqref="C118">
    <cfRule type="expression" dxfId="217" priority="147" stopIfTrue="1">
      <formula>MOD(ROW(),2) = 1</formula>
    </cfRule>
  </conditionalFormatting>
  <conditionalFormatting sqref="C122">
    <cfRule type="expression" dxfId="216" priority="146" stopIfTrue="1">
      <formula>MOD(ROW(),2) = 1</formula>
    </cfRule>
  </conditionalFormatting>
  <conditionalFormatting sqref="C123">
    <cfRule type="expression" dxfId="215" priority="145" stopIfTrue="1">
      <formula>MOD(ROW(),2) = 1</formula>
    </cfRule>
  </conditionalFormatting>
  <conditionalFormatting sqref="C130">
    <cfRule type="expression" dxfId="214" priority="141" stopIfTrue="1">
      <formula>MOD(ROW(),2) = 1</formula>
    </cfRule>
  </conditionalFormatting>
  <conditionalFormatting sqref="C131">
    <cfRule type="expression" dxfId="213" priority="140" stopIfTrue="1">
      <formula>MOD(ROW(),2) = 1</formula>
    </cfRule>
  </conditionalFormatting>
  <conditionalFormatting sqref="C132">
    <cfRule type="expression" dxfId="212" priority="139" stopIfTrue="1">
      <formula>MOD(ROW(),2) = 1</formula>
    </cfRule>
  </conditionalFormatting>
  <conditionalFormatting sqref="C133:C134">
    <cfRule type="expression" dxfId="211" priority="138" stopIfTrue="1">
      <formula>MOD(ROW(),2) = 1</formula>
    </cfRule>
  </conditionalFormatting>
  <conditionalFormatting sqref="C135">
    <cfRule type="expression" dxfId="210" priority="137" stopIfTrue="1">
      <formula>MOD(ROW(),2) = 1</formula>
    </cfRule>
  </conditionalFormatting>
  <conditionalFormatting sqref="C140">
    <cfRule type="expression" dxfId="209" priority="136" stopIfTrue="1">
      <formula>MOD(ROW(),2) = 1</formula>
    </cfRule>
  </conditionalFormatting>
  <conditionalFormatting sqref="C142">
    <cfRule type="expression" dxfId="208" priority="135" stopIfTrue="1">
      <formula>MOD(ROW(),2) = 1</formula>
    </cfRule>
  </conditionalFormatting>
  <conditionalFormatting sqref="C143">
    <cfRule type="expression" dxfId="207" priority="134" stopIfTrue="1">
      <formula>MOD(ROW(),2) = 1</formula>
    </cfRule>
  </conditionalFormatting>
  <conditionalFormatting sqref="C144">
    <cfRule type="expression" dxfId="206" priority="133" stopIfTrue="1">
      <formula>MOD(ROW(),2) = 1</formula>
    </cfRule>
  </conditionalFormatting>
  <conditionalFormatting sqref="C145">
    <cfRule type="expression" dxfId="205" priority="132" stopIfTrue="1">
      <formula>MOD(ROW(),2) = 1</formula>
    </cfRule>
  </conditionalFormatting>
  <conditionalFormatting sqref="C146">
    <cfRule type="expression" dxfId="204" priority="131" stopIfTrue="1">
      <formula>MOD(ROW(),2) = 1</formula>
    </cfRule>
  </conditionalFormatting>
  <conditionalFormatting sqref="C157">
    <cfRule type="expression" dxfId="203" priority="130" stopIfTrue="1">
      <formula>MOD(ROW(),2) = 1</formula>
    </cfRule>
  </conditionalFormatting>
  <conditionalFormatting sqref="C158:C159">
    <cfRule type="expression" dxfId="202" priority="129" stopIfTrue="1">
      <formula>MOD(ROW(),2) = 1</formula>
    </cfRule>
  </conditionalFormatting>
  <conditionalFormatting sqref="C160">
    <cfRule type="expression" dxfId="201" priority="128" stopIfTrue="1">
      <formula>MOD(ROW(),2) = 1</formula>
    </cfRule>
  </conditionalFormatting>
  <conditionalFormatting sqref="C161:C162">
    <cfRule type="expression" dxfId="200" priority="126" stopIfTrue="1">
      <formula>MOD(ROW(),2) = 1</formula>
    </cfRule>
  </conditionalFormatting>
  <conditionalFormatting sqref="C163">
    <cfRule type="expression" dxfId="199" priority="125" stopIfTrue="1">
      <formula>MOD(ROW(),2) = 1</formula>
    </cfRule>
  </conditionalFormatting>
  <conditionalFormatting sqref="C164">
    <cfRule type="expression" dxfId="198" priority="124" stopIfTrue="1">
      <formula>MOD(ROW(),2) = 1</formula>
    </cfRule>
  </conditionalFormatting>
  <conditionalFormatting sqref="C165">
    <cfRule type="expression" dxfId="197" priority="123" stopIfTrue="1">
      <formula>MOD(ROW(),2) = 1</formula>
    </cfRule>
  </conditionalFormatting>
  <conditionalFormatting sqref="C166">
    <cfRule type="expression" dxfId="196" priority="122" stopIfTrue="1">
      <formula>MOD(ROW(),2) = 1</formula>
    </cfRule>
  </conditionalFormatting>
  <conditionalFormatting sqref="C167">
    <cfRule type="expression" dxfId="195" priority="121" stopIfTrue="1">
      <formula>MOD(ROW(),2) = 1</formula>
    </cfRule>
  </conditionalFormatting>
  <conditionalFormatting sqref="C168:C170">
    <cfRule type="expression" dxfId="194" priority="120" stopIfTrue="1">
      <formula>MOD(ROW(),2) = 1</formula>
    </cfRule>
  </conditionalFormatting>
  <conditionalFormatting sqref="C185">
    <cfRule type="expression" dxfId="193" priority="118" stopIfTrue="1">
      <formula>MOD(ROW(),2) = 1</formula>
    </cfRule>
  </conditionalFormatting>
  <conditionalFormatting sqref="C187">
    <cfRule type="expression" dxfId="192" priority="117" stopIfTrue="1">
      <formula>MOD(ROW(),2) = 1</formula>
    </cfRule>
  </conditionalFormatting>
  <conditionalFormatting sqref="D199">
    <cfRule type="expression" dxfId="191" priority="116" stopIfTrue="1">
      <formula>MOD(ROW(),2) = 1</formula>
    </cfRule>
  </conditionalFormatting>
  <conditionalFormatting sqref="D200">
    <cfRule type="expression" dxfId="190" priority="115" stopIfTrue="1">
      <formula>MOD(ROW(),2) = 1</formula>
    </cfRule>
  </conditionalFormatting>
  <conditionalFormatting sqref="D201">
    <cfRule type="expression" dxfId="189" priority="110" stopIfTrue="1">
      <formula>MOD(ROW(),2) = 1</formula>
    </cfRule>
  </conditionalFormatting>
  <conditionalFormatting sqref="C203">
    <cfRule type="expression" dxfId="188" priority="107" stopIfTrue="1">
      <formula>MOD(ROW(),2) = 1</formula>
    </cfRule>
  </conditionalFormatting>
  <conditionalFormatting sqref="C202">
    <cfRule type="expression" dxfId="187" priority="105" stopIfTrue="1">
      <formula>MOD(ROW(),2) = 1</formula>
    </cfRule>
  </conditionalFormatting>
  <conditionalFormatting sqref="C201">
    <cfRule type="expression" dxfId="186" priority="104" stopIfTrue="1">
      <formula>MOD(ROW(),2) = 1</formula>
    </cfRule>
  </conditionalFormatting>
  <conditionalFormatting sqref="C201">
    <cfRule type="expression" dxfId="185" priority="103" stopIfTrue="1">
      <formula>MOD(ROW(),2) = 1</formula>
    </cfRule>
  </conditionalFormatting>
  <conditionalFormatting sqref="D202">
    <cfRule type="expression" dxfId="184" priority="102" stopIfTrue="1">
      <formula>MOD(ROW(),2) = 1</formula>
    </cfRule>
  </conditionalFormatting>
  <conditionalFormatting sqref="D203">
    <cfRule type="expression" dxfId="183" priority="101" stopIfTrue="1">
      <formula>MOD(ROW(),2) = 1</formula>
    </cfRule>
  </conditionalFormatting>
  <conditionalFormatting sqref="C205">
    <cfRule type="expression" dxfId="182" priority="100" stopIfTrue="1">
      <formula>MOD(ROW(),2) = 1</formula>
    </cfRule>
  </conditionalFormatting>
  <conditionalFormatting sqref="C207">
    <cfRule type="expression" dxfId="181" priority="99" stopIfTrue="1">
      <formula>MOD(ROW(),2) = 1</formula>
    </cfRule>
  </conditionalFormatting>
  <conditionalFormatting sqref="C206">
    <cfRule type="expression" dxfId="180" priority="98" stopIfTrue="1">
      <formula>MOD(ROW(),2) = 1</formula>
    </cfRule>
  </conditionalFormatting>
  <conditionalFormatting sqref="C208">
    <cfRule type="expression" dxfId="179" priority="97" stopIfTrue="1">
      <formula>MOD(ROW(),2) = 1</formula>
    </cfRule>
  </conditionalFormatting>
  <conditionalFormatting sqref="C210">
    <cfRule type="expression" dxfId="178" priority="95" stopIfTrue="1">
      <formula>MOD(ROW(),2) = 1</formula>
    </cfRule>
  </conditionalFormatting>
  <conditionalFormatting sqref="C212">
    <cfRule type="expression" dxfId="177" priority="93" stopIfTrue="1">
      <formula>MOD(ROW(),2) = 1</formula>
    </cfRule>
  </conditionalFormatting>
  <conditionalFormatting sqref="C213">
    <cfRule type="expression" dxfId="176" priority="92" stopIfTrue="1">
      <formula>MOD(ROW(),2) = 1</formula>
    </cfRule>
  </conditionalFormatting>
  <conditionalFormatting sqref="C214:C215">
    <cfRule type="expression" dxfId="175" priority="91" stopIfTrue="1">
      <formula>MOD(ROW(),2) = 1</formula>
    </cfRule>
  </conditionalFormatting>
  <conditionalFormatting sqref="C216">
    <cfRule type="expression" dxfId="174" priority="90" stopIfTrue="1">
      <formula>MOD(ROW(),2) = 1</formula>
    </cfRule>
  </conditionalFormatting>
  <conditionalFormatting sqref="C217">
    <cfRule type="expression" dxfId="173" priority="89" stopIfTrue="1">
      <formula>MOD(ROW(),2) = 1</formula>
    </cfRule>
  </conditionalFormatting>
  <conditionalFormatting sqref="C218">
    <cfRule type="expression" dxfId="172" priority="88" stopIfTrue="1">
      <formula>MOD(ROW(),2) = 1</formula>
    </cfRule>
  </conditionalFormatting>
  <conditionalFormatting sqref="C219">
    <cfRule type="expression" dxfId="171" priority="87" stopIfTrue="1">
      <formula>MOD(ROW(),2) = 1</formula>
    </cfRule>
  </conditionalFormatting>
  <conditionalFormatting sqref="C220">
    <cfRule type="expression" dxfId="170" priority="86" stopIfTrue="1">
      <formula>MOD(ROW(),2) = 1</formula>
    </cfRule>
  </conditionalFormatting>
  <conditionalFormatting sqref="C221:C222">
    <cfRule type="expression" dxfId="169" priority="85" stopIfTrue="1">
      <formula>MOD(ROW(),2) = 1</formula>
    </cfRule>
  </conditionalFormatting>
  <conditionalFormatting sqref="C223:C225">
    <cfRule type="expression" dxfId="168" priority="84" stopIfTrue="1">
      <formula>MOD(ROW(),2) = 1</formula>
    </cfRule>
  </conditionalFormatting>
  <conditionalFormatting sqref="C226:C229">
    <cfRule type="expression" dxfId="167" priority="83" stopIfTrue="1">
      <formula>MOD(ROW(),2) = 1</formula>
    </cfRule>
  </conditionalFormatting>
  <conditionalFormatting sqref="A230">
    <cfRule type="expression" dxfId="166" priority="82" stopIfTrue="1">
      <formula>MOD(ROW(),2) = 1</formula>
    </cfRule>
  </conditionalFormatting>
  <conditionalFormatting sqref="C230">
    <cfRule type="expression" dxfId="165" priority="81" stopIfTrue="1">
      <formula>MOD(ROW(),2) = 1</formula>
    </cfRule>
  </conditionalFormatting>
  <conditionalFormatting sqref="A231">
    <cfRule type="expression" dxfId="164" priority="80" stopIfTrue="1">
      <formula>MOD(ROW(),2) = 1</formula>
    </cfRule>
  </conditionalFormatting>
  <conditionalFormatting sqref="C231">
    <cfRule type="expression" dxfId="163" priority="79" stopIfTrue="1">
      <formula>MOD(ROW(),2) = 1</formula>
    </cfRule>
  </conditionalFormatting>
  <conditionalFormatting sqref="C232">
    <cfRule type="expression" dxfId="162" priority="78" stopIfTrue="1">
      <formula>MOD(ROW(),2) = 1</formula>
    </cfRule>
  </conditionalFormatting>
  <conditionalFormatting sqref="A232">
    <cfRule type="expression" dxfId="161" priority="77" stopIfTrue="1">
      <formula>MOD(ROW(),2) = 1</formula>
    </cfRule>
  </conditionalFormatting>
  <conditionalFormatting sqref="C233">
    <cfRule type="expression" dxfId="160" priority="76" stopIfTrue="1">
      <formula>MOD(ROW(),2) = 1</formula>
    </cfRule>
  </conditionalFormatting>
  <conditionalFormatting sqref="A233">
    <cfRule type="expression" dxfId="159" priority="75" stopIfTrue="1">
      <formula>MOD(ROW(),2) = 1</formula>
    </cfRule>
  </conditionalFormatting>
  <conditionalFormatting sqref="C234">
    <cfRule type="expression" dxfId="158" priority="74" stopIfTrue="1">
      <formula>MOD(ROW(),2) = 1</formula>
    </cfRule>
  </conditionalFormatting>
  <conditionalFormatting sqref="C235">
    <cfRule type="expression" dxfId="157" priority="73" stopIfTrue="1">
      <formula>MOD(ROW(),2) = 1</formula>
    </cfRule>
  </conditionalFormatting>
  <conditionalFormatting sqref="C236">
    <cfRule type="expression" dxfId="156" priority="72" stopIfTrue="1">
      <formula>MOD(ROW(),2) = 1</formula>
    </cfRule>
  </conditionalFormatting>
  <conditionalFormatting sqref="C237">
    <cfRule type="expression" dxfId="155" priority="71" stopIfTrue="1">
      <formula>MOD(ROW(),2) = 1</formula>
    </cfRule>
  </conditionalFormatting>
  <conditionalFormatting sqref="C238">
    <cfRule type="expression" dxfId="154" priority="70" stopIfTrue="1">
      <formula>MOD(ROW(),2) = 1</formula>
    </cfRule>
  </conditionalFormatting>
  <conditionalFormatting sqref="C239">
    <cfRule type="expression" dxfId="153" priority="69" stopIfTrue="1">
      <formula>MOD(ROW(),2) = 1</formula>
    </cfRule>
  </conditionalFormatting>
  <conditionalFormatting sqref="C240">
    <cfRule type="expression" dxfId="152" priority="68" stopIfTrue="1">
      <formula>MOD(ROW(),2) = 1</formula>
    </cfRule>
  </conditionalFormatting>
  <conditionalFormatting sqref="C243">
    <cfRule type="expression" dxfId="151" priority="66" stopIfTrue="1">
      <formula>MOD(ROW(),2) = 1</formula>
    </cfRule>
  </conditionalFormatting>
  <conditionalFormatting sqref="C248">
    <cfRule type="expression" dxfId="150" priority="65" stopIfTrue="1">
      <formula>MOD(ROW(),2) = 1</formula>
    </cfRule>
  </conditionalFormatting>
  <conditionalFormatting sqref="C250">
    <cfRule type="expression" dxfId="149" priority="64" stopIfTrue="1">
      <formula>MOD(ROW(),2) = 1</formula>
    </cfRule>
  </conditionalFormatting>
  <conditionalFormatting sqref="C251">
    <cfRule type="expression" dxfId="148" priority="63" stopIfTrue="1">
      <formula>MOD(ROW(),2) = 1</formula>
    </cfRule>
  </conditionalFormatting>
  <conditionalFormatting sqref="C252">
    <cfRule type="expression" dxfId="147" priority="62" stopIfTrue="1">
      <formula>MOD(ROW(),2) = 1</formula>
    </cfRule>
  </conditionalFormatting>
  <conditionalFormatting sqref="C253:C255">
    <cfRule type="expression" dxfId="146" priority="61" stopIfTrue="1">
      <formula>MOD(ROW(),2) = 1</formula>
    </cfRule>
  </conditionalFormatting>
  <conditionalFormatting sqref="C259">
    <cfRule type="expression" dxfId="145" priority="60" stopIfTrue="1">
      <formula>MOD(ROW(),2) = 1</formula>
    </cfRule>
  </conditionalFormatting>
  <conditionalFormatting sqref="C260:C261">
    <cfRule type="expression" dxfId="144" priority="59" stopIfTrue="1">
      <formula>MOD(ROW(),2) = 1</formula>
    </cfRule>
  </conditionalFormatting>
  <conditionalFormatting sqref="C262">
    <cfRule type="expression" dxfId="143" priority="58" stopIfTrue="1">
      <formula>MOD(ROW(),2) = 1</formula>
    </cfRule>
  </conditionalFormatting>
  <conditionalFormatting sqref="C263">
    <cfRule type="expression" dxfId="142" priority="57" stopIfTrue="1">
      <formula>MOD(ROW(),2) = 1</formula>
    </cfRule>
  </conditionalFormatting>
  <conditionalFormatting sqref="C264">
    <cfRule type="expression" dxfId="141" priority="56" stopIfTrue="1">
      <formula>MOD(ROW(),2) = 1</formula>
    </cfRule>
  </conditionalFormatting>
  <conditionalFormatting sqref="C267">
    <cfRule type="expression" dxfId="140" priority="55" stopIfTrue="1">
      <formula>MOD(ROW(),2) = 1</formula>
    </cfRule>
  </conditionalFormatting>
  <conditionalFormatting sqref="C268">
    <cfRule type="expression" dxfId="139" priority="54" stopIfTrue="1">
      <formula>MOD(ROW(),2) = 1</formula>
    </cfRule>
  </conditionalFormatting>
  <conditionalFormatting sqref="C271">
    <cfRule type="expression" dxfId="138" priority="52" stopIfTrue="1">
      <formula>MOD(ROW(),2) = 1</formula>
    </cfRule>
  </conditionalFormatting>
  <conditionalFormatting sqref="C269:C270">
    <cfRule type="expression" dxfId="137" priority="51" stopIfTrue="1">
      <formula>MOD(ROW(),2) = 1</formula>
    </cfRule>
  </conditionalFormatting>
  <conditionalFormatting sqref="C273">
    <cfRule type="expression" dxfId="136" priority="50" stopIfTrue="1">
      <formula>MOD(ROW(),2) = 1</formula>
    </cfRule>
  </conditionalFormatting>
  <conditionalFormatting sqref="C279">
    <cfRule type="expression" dxfId="135" priority="49" stopIfTrue="1">
      <formula>MOD(ROW(),2) = 1</formula>
    </cfRule>
  </conditionalFormatting>
  <conditionalFormatting sqref="C280:C281">
    <cfRule type="expression" dxfId="134" priority="48" stopIfTrue="1">
      <formula>MOD(ROW(),2) = 1</formula>
    </cfRule>
  </conditionalFormatting>
  <conditionalFormatting sqref="C282:C283">
    <cfRule type="expression" dxfId="133" priority="47" stopIfTrue="1">
      <formula>MOD(ROW(),2) = 1</formula>
    </cfRule>
  </conditionalFormatting>
  <conditionalFormatting sqref="C284">
    <cfRule type="expression" dxfId="132" priority="46" stopIfTrue="1">
      <formula>MOD(ROW(),2) = 1</formula>
    </cfRule>
  </conditionalFormatting>
  <conditionalFormatting sqref="C287">
    <cfRule type="expression" dxfId="131" priority="45" stopIfTrue="1">
      <formula>MOD(ROW(),2) = 1</formula>
    </cfRule>
  </conditionalFormatting>
  <conditionalFormatting sqref="C288">
    <cfRule type="expression" dxfId="130" priority="44" stopIfTrue="1">
      <formula>MOD(ROW(),2) = 1</formula>
    </cfRule>
  </conditionalFormatting>
  <conditionalFormatting sqref="C289">
    <cfRule type="expression" dxfId="129" priority="43" stopIfTrue="1">
      <formula>MOD(ROW(),2) = 1</formula>
    </cfRule>
  </conditionalFormatting>
  <conditionalFormatting sqref="C290">
    <cfRule type="expression" dxfId="128" priority="42" stopIfTrue="1">
      <formula>MOD(ROW(),2) = 1</formula>
    </cfRule>
  </conditionalFormatting>
  <conditionalFormatting sqref="C291">
    <cfRule type="expression" dxfId="127" priority="41" stopIfTrue="1">
      <formula>MOD(ROW(),2) = 1</formula>
    </cfRule>
  </conditionalFormatting>
  <conditionalFormatting sqref="C292">
    <cfRule type="expression" dxfId="126" priority="40" stopIfTrue="1">
      <formula>MOD(ROW(),2) = 1</formula>
    </cfRule>
  </conditionalFormatting>
  <conditionalFormatting sqref="C293">
    <cfRule type="expression" dxfId="125" priority="39" stopIfTrue="1">
      <formula>MOD(ROW(),2) = 1</formula>
    </cfRule>
  </conditionalFormatting>
  <conditionalFormatting sqref="C294">
    <cfRule type="expression" dxfId="124" priority="38" stopIfTrue="1">
      <formula>MOD(ROW(),2) = 1</formula>
    </cfRule>
  </conditionalFormatting>
  <conditionalFormatting sqref="C295">
    <cfRule type="expression" dxfId="123" priority="37" stopIfTrue="1">
      <formula>MOD(ROW(),2) = 1</formula>
    </cfRule>
  </conditionalFormatting>
  <conditionalFormatting sqref="C296">
    <cfRule type="expression" dxfId="122" priority="36" stopIfTrue="1">
      <formula>MOD(ROW(),2) = 1</formula>
    </cfRule>
  </conditionalFormatting>
  <conditionalFormatting sqref="C297">
    <cfRule type="expression" dxfId="121" priority="35" stopIfTrue="1">
      <formula>MOD(ROW(),2) = 1</formula>
    </cfRule>
  </conditionalFormatting>
  <conditionalFormatting sqref="C299:C300">
    <cfRule type="expression" dxfId="120" priority="34" stopIfTrue="1">
      <formula>MOD(ROW(),2) = 1</formula>
    </cfRule>
  </conditionalFormatting>
  <conditionalFormatting sqref="C301">
    <cfRule type="expression" dxfId="119" priority="33" stopIfTrue="1">
      <formula>MOD(ROW(),2) = 1</formula>
    </cfRule>
  </conditionalFormatting>
  <conditionalFormatting sqref="C302">
    <cfRule type="expression" dxfId="118" priority="32" stopIfTrue="1">
      <formula>MOD(ROW(),2) = 1</formula>
    </cfRule>
  </conditionalFormatting>
  <conditionalFormatting sqref="C303:C304">
    <cfRule type="expression" dxfId="117" priority="30" stopIfTrue="1">
      <formula>MOD(ROW(),2) = 1</formula>
    </cfRule>
  </conditionalFormatting>
  <conditionalFormatting sqref="C305">
    <cfRule type="expression" dxfId="116" priority="29" stopIfTrue="1">
      <formula>MOD(ROW(),2) = 1</formula>
    </cfRule>
  </conditionalFormatting>
  <conditionalFormatting sqref="C306">
    <cfRule type="expression" dxfId="115" priority="28" stopIfTrue="1">
      <formula>MOD(ROW(),2) = 1</formula>
    </cfRule>
  </conditionalFormatting>
  <conditionalFormatting sqref="C307">
    <cfRule type="expression" dxfId="114" priority="27" stopIfTrue="1">
      <formula>MOD(ROW(),2) = 1</formula>
    </cfRule>
  </conditionalFormatting>
  <conditionalFormatting sqref="C308:C309">
    <cfRule type="expression" dxfId="113" priority="26" stopIfTrue="1">
      <formula>MOD(ROW(),2) = 1</formula>
    </cfRule>
  </conditionalFormatting>
  <conditionalFormatting sqref="C311:C312">
    <cfRule type="expression" dxfId="112" priority="25" stopIfTrue="1">
      <formula>MOD(ROW(),2) = 1</formula>
    </cfRule>
  </conditionalFormatting>
  <conditionalFormatting sqref="C313">
    <cfRule type="expression" dxfId="111" priority="24" stopIfTrue="1">
      <formula>MOD(ROW(),2) = 1</formula>
    </cfRule>
  </conditionalFormatting>
  <conditionalFormatting sqref="C314">
    <cfRule type="expression" dxfId="110" priority="23" stopIfTrue="1">
      <formula>MOD(ROW(),2) = 1</formula>
    </cfRule>
  </conditionalFormatting>
  <conditionalFormatting sqref="C315">
    <cfRule type="expression" dxfId="109" priority="22" stopIfTrue="1">
      <formula>MOD(ROW(),2) = 1</formula>
    </cfRule>
  </conditionalFormatting>
  <conditionalFormatting sqref="C316">
    <cfRule type="expression" dxfId="108" priority="21" stopIfTrue="1">
      <formula>MOD(ROW(),2) = 1</formula>
    </cfRule>
  </conditionalFormatting>
  <conditionalFormatting sqref="C317">
    <cfRule type="expression" dxfId="107" priority="20" stopIfTrue="1">
      <formula>MOD(ROW(),2) = 1</formula>
    </cfRule>
  </conditionalFormatting>
  <conditionalFormatting sqref="C318">
    <cfRule type="expression" dxfId="106" priority="19" stopIfTrue="1">
      <formula>MOD(ROW(),2) = 1</formula>
    </cfRule>
  </conditionalFormatting>
  <conditionalFormatting sqref="C319">
    <cfRule type="expression" dxfId="105" priority="18" stopIfTrue="1">
      <formula>MOD(ROW(),2) = 1</formula>
    </cfRule>
  </conditionalFormatting>
  <conditionalFormatting sqref="C320">
    <cfRule type="expression" dxfId="104" priority="15" stopIfTrue="1">
      <formula>MOD(ROW(),2) = 1</formula>
    </cfRule>
  </conditionalFormatting>
  <conditionalFormatting sqref="C321">
    <cfRule type="expression" dxfId="103" priority="14" stopIfTrue="1">
      <formula>MOD(ROW(),2) = 1</formula>
    </cfRule>
  </conditionalFormatting>
  <conditionalFormatting sqref="C323">
    <cfRule type="expression" dxfId="102" priority="13" stopIfTrue="1">
      <formula>MOD(ROW(),2) = 1</formula>
    </cfRule>
  </conditionalFormatting>
  <conditionalFormatting sqref="C322">
    <cfRule type="expression" dxfId="101" priority="12" stopIfTrue="1">
      <formula>MOD(ROW(),2) = 1</formula>
    </cfRule>
  </conditionalFormatting>
  <conditionalFormatting sqref="C324">
    <cfRule type="expression" dxfId="100" priority="11" stopIfTrue="1">
      <formula>MOD(ROW(),2) = 1</formula>
    </cfRule>
  </conditionalFormatting>
  <conditionalFormatting sqref="C325:C326">
    <cfRule type="expression" dxfId="99" priority="10" stopIfTrue="1">
      <formula>MOD(ROW(),2) = 1</formula>
    </cfRule>
  </conditionalFormatting>
  <conditionalFormatting sqref="C327">
    <cfRule type="expression" dxfId="98" priority="9" stopIfTrue="1">
      <formula>MOD(ROW(),2) = 1</formula>
    </cfRule>
  </conditionalFormatting>
  <conditionalFormatting sqref="C328">
    <cfRule type="expression" dxfId="97" priority="8" stopIfTrue="1">
      <formula>MOD(ROW(),2) = 1</formula>
    </cfRule>
  </conditionalFormatting>
  <conditionalFormatting sqref="C329:C330">
    <cfRule type="expression" dxfId="96" priority="7" stopIfTrue="1">
      <formula>MOD(ROW(),2) = 1</formula>
    </cfRule>
  </conditionalFormatting>
  <conditionalFormatting sqref="C331">
    <cfRule type="expression" dxfId="95" priority="6" stopIfTrue="1">
      <formula>MOD(ROW(),2) = 1</formula>
    </cfRule>
  </conditionalFormatting>
  <conditionalFormatting sqref="D332">
    <cfRule type="expression" dxfId="94" priority="5" stopIfTrue="1">
      <formula>MOD(ROW(),2) = 1</formula>
    </cfRule>
  </conditionalFormatting>
  <conditionalFormatting sqref="D333">
    <cfRule type="expression" dxfId="93" priority="4" stopIfTrue="1">
      <formula>MOD(ROW(),2) = 1</formula>
    </cfRule>
  </conditionalFormatting>
  <conditionalFormatting sqref="D334">
    <cfRule type="expression" dxfId="92" priority="3" stopIfTrue="1">
      <formula>MOD(ROW(),2) = 1</formula>
    </cfRule>
  </conditionalFormatting>
  <conditionalFormatting sqref="D335">
    <cfRule type="expression" dxfId="91" priority="2" stopIfTrue="1">
      <formula>MOD(ROW(),2) = 1</formula>
    </cfRule>
  </conditionalFormatting>
  <conditionalFormatting sqref="C338">
    <cfRule type="expression" dxfId="90" priority="1" stopIfTrue="1">
      <formula>MOD(ROW(),2) = 1</formula>
    </cfRule>
  </conditionalFormatting>
  <pageMargins left="0.7" right="0.7" top="0.75" bottom="0.75" header="0.3" footer="0.3"/>
  <pageSetup paperSize="9" orientation="portrait" verticalDpi="0"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pageSetUpPr fitToPage="1"/>
  </sheetPr>
  <dimension ref="A1:AK86"/>
  <sheetViews>
    <sheetView zoomScale="85" zoomScaleNormal="85" workbookViewId="0">
      <pane xSplit="2" ySplit="1" topLeftCell="C45" activePane="bottomRight" state="frozen"/>
      <selection pane="topRight" activeCell="C1" sqref="C1"/>
      <selection pane="bottomLeft" activeCell="A2" sqref="A2"/>
      <selection pane="bottomRight" activeCell="D50" sqref="D50"/>
    </sheetView>
  </sheetViews>
  <sheetFormatPr defaultColWidth="9.33203125" defaultRowHeight="12"/>
  <cols>
    <col min="1" max="1" width="9.33203125" style="8"/>
    <col min="2" max="2" width="22.33203125" style="112" customWidth="1"/>
    <col min="3" max="3" width="39.88671875" style="113" customWidth="1"/>
    <col min="4" max="4" width="34.21875" style="165" customWidth="1"/>
    <col min="5" max="5" width="10" style="165" customWidth="1"/>
    <col min="6" max="6" width="15.44140625" style="8" customWidth="1"/>
    <col min="7" max="7" width="18.44140625" style="8" customWidth="1"/>
    <col min="8" max="8" width="15.88671875" style="8" customWidth="1"/>
    <col min="9" max="9" width="16" style="8" customWidth="1"/>
    <col min="10" max="10" width="26.21875" style="8" customWidth="1"/>
    <col min="11" max="11" width="10" style="8" customWidth="1"/>
    <col min="12" max="12" width="25.33203125" style="8" customWidth="1"/>
    <col min="13" max="13" width="26.88671875" style="8" customWidth="1"/>
    <col min="14" max="14" width="12.44140625" style="8" customWidth="1"/>
    <col min="15" max="15" width="14.88671875" style="8" customWidth="1"/>
    <col min="16" max="34" width="9.33203125" style="8"/>
    <col min="35" max="35" width="11" style="8" bestFit="1" customWidth="1"/>
    <col min="36" max="36" width="28" style="8" bestFit="1" customWidth="1"/>
    <col min="37" max="16384" width="9.33203125" style="8"/>
  </cols>
  <sheetData>
    <row r="1" spans="1:37" s="7" customFormat="1" ht="63.75" customHeight="1">
      <c r="A1" t="s">
        <v>337</v>
      </c>
      <c r="B1" t="s">
        <v>338</v>
      </c>
      <c r="C1" s="111" t="s">
        <v>1324</v>
      </c>
      <c r="D1" s="144">
        <v>44446</v>
      </c>
      <c r="E1" s="110" t="s">
        <v>888</v>
      </c>
      <c r="F1" s="110" t="s">
        <v>853</v>
      </c>
      <c r="G1" s="144">
        <v>43461</v>
      </c>
      <c r="H1" s="144">
        <v>43335</v>
      </c>
      <c r="I1" s="118" t="s">
        <v>781</v>
      </c>
      <c r="J1" s="118" t="s">
        <v>756</v>
      </c>
      <c r="K1" s="118" t="s">
        <v>705</v>
      </c>
      <c r="L1" s="118" t="s">
        <v>655</v>
      </c>
      <c r="M1" s="118" t="s">
        <v>489</v>
      </c>
      <c r="N1" s="48">
        <v>42233</v>
      </c>
      <c r="O1" s="48">
        <v>42210</v>
      </c>
      <c r="P1" s="49" t="s">
        <v>401</v>
      </c>
      <c r="Q1" s="49" t="s">
        <v>402</v>
      </c>
      <c r="R1" s="49" t="s">
        <v>403</v>
      </c>
      <c r="S1" s="49" t="s">
        <v>404</v>
      </c>
      <c r="T1" s="49" t="s">
        <v>405</v>
      </c>
      <c r="U1" s="50" t="s">
        <v>406</v>
      </c>
      <c r="V1" s="50" t="s">
        <v>407</v>
      </c>
      <c r="W1" s="51" t="s">
        <v>408</v>
      </c>
      <c r="X1" s="52" t="s">
        <v>409</v>
      </c>
      <c r="Y1" s="53">
        <v>41683</v>
      </c>
      <c r="Z1" s="53">
        <v>41659</v>
      </c>
      <c r="AA1" s="198" t="s">
        <v>410</v>
      </c>
      <c r="AB1" s="199"/>
      <c r="AC1" s="52" t="s">
        <v>411</v>
      </c>
      <c r="AD1" s="53">
        <v>41605</v>
      </c>
      <c r="AE1" s="54" t="s">
        <v>412</v>
      </c>
      <c r="AF1" s="54" t="s">
        <v>413</v>
      </c>
      <c r="AG1" s="54" t="s">
        <v>414</v>
      </c>
      <c r="AH1" s="53">
        <v>41462</v>
      </c>
      <c r="AI1" s="53">
        <v>41444</v>
      </c>
      <c r="AJ1" s="53">
        <v>41442</v>
      </c>
      <c r="AK1" s="52" t="s">
        <v>415</v>
      </c>
    </row>
    <row r="2" spans="1:37" ht="20.149999999999999" customHeight="1">
      <c r="A2" s="43" t="str">
        <f>Acc!A2</f>
        <v>Enable</v>
      </c>
      <c r="B2" s="114" t="str">
        <f>Acc!B2</f>
        <v>scm-inj-238-1</v>
      </c>
      <c r="C2" s="61"/>
      <c r="D2" s="161"/>
      <c r="E2" s="161"/>
      <c r="F2" s="47"/>
      <c r="G2" s="47"/>
      <c r="H2" s="47"/>
      <c r="I2" s="47"/>
      <c r="J2" s="47"/>
      <c r="K2" s="47"/>
      <c r="L2" s="47"/>
      <c r="M2" s="47"/>
      <c r="N2" s="56"/>
      <c r="O2" s="56"/>
      <c r="P2" s="56"/>
      <c r="Q2" s="56"/>
      <c r="R2" s="57" t="s">
        <v>417</v>
      </c>
      <c r="S2" s="56"/>
      <c r="T2" s="56"/>
      <c r="U2" s="58"/>
      <c r="V2" s="58"/>
      <c r="W2" s="56"/>
      <c r="X2" s="58"/>
      <c r="Y2" s="58"/>
      <c r="Z2" s="58"/>
      <c r="AA2" s="200" t="s">
        <v>418</v>
      </c>
      <c r="AB2" s="59" t="s">
        <v>419</v>
      </c>
      <c r="AC2" s="60"/>
      <c r="AD2" s="60"/>
      <c r="AE2" s="61"/>
      <c r="AF2" s="61"/>
      <c r="AG2" s="61"/>
      <c r="AH2" s="60"/>
      <c r="AI2" s="60"/>
      <c r="AJ2" s="60"/>
      <c r="AK2" s="60"/>
    </row>
    <row r="3" spans="1:37" ht="20.149999999999999" customHeight="1">
      <c r="A3" s="43" t="str">
        <f>Acc!A3</f>
        <v>Enable</v>
      </c>
      <c r="B3" s="114" t="str">
        <f>Acc!B3</f>
        <v>scm-inj-476-1</v>
      </c>
      <c r="C3" s="61"/>
      <c r="D3" s="161"/>
      <c r="E3" s="161"/>
      <c r="F3" s="47"/>
      <c r="G3" s="47"/>
      <c r="H3" s="47"/>
      <c r="I3" s="47"/>
      <c r="J3" s="47"/>
      <c r="K3" s="47"/>
      <c r="L3" s="47"/>
      <c r="M3" s="47"/>
      <c r="N3" s="62"/>
      <c r="O3" s="62"/>
      <c r="P3" s="62"/>
      <c r="Q3" s="62"/>
      <c r="R3" s="63"/>
      <c r="S3" s="62"/>
      <c r="T3" s="62"/>
      <c r="U3" s="55"/>
      <c r="V3" s="55"/>
      <c r="W3" s="62"/>
      <c r="X3" s="55"/>
      <c r="Y3" s="55"/>
      <c r="Z3" s="55"/>
      <c r="AA3" s="201"/>
      <c r="AB3" s="203" t="s">
        <v>420</v>
      </c>
      <c r="AC3" s="60"/>
      <c r="AD3" s="60"/>
      <c r="AE3" s="61"/>
      <c r="AF3" s="61"/>
      <c r="AG3" s="61"/>
      <c r="AH3" s="60"/>
      <c r="AI3" s="60"/>
      <c r="AJ3" s="60"/>
      <c r="AK3" s="60"/>
    </row>
    <row r="4" spans="1:37" ht="20.149999999999999" customHeight="1">
      <c r="A4" s="43" t="str">
        <f>Acc!A4</f>
        <v>Enable</v>
      </c>
      <c r="B4" s="114" t="str">
        <f>Acc!B4</f>
        <v>scm-inj-lb-1</v>
      </c>
      <c r="C4" s="61"/>
      <c r="D4" s="161"/>
      <c r="E4" s="161"/>
      <c r="F4" s="47"/>
      <c r="G4" s="47"/>
      <c r="H4" s="47"/>
      <c r="I4" s="47"/>
      <c r="J4" s="47"/>
      <c r="K4" s="47"/>
      <c r="L4" s="47"/>
      <c r="M4" s="47"/>
      <c r="N4" s="47"/>
      <c r="O4" s="47"/>
      <c r="P4" s="47"/>
      <c r="Q4" s="47"/>
      <c r="R4" s="47"/>
      <c r="S4" s="47"/>
      <c r="T4" s="47"/>
      <c r="U4" s="60"/>
      <c r="V4" s="60"/>
      <c r="W4" s="47"/>
      <c r="X4" s="60"/>
      <c r="Y4" s="60"/>
      <c r="Z4" s="60"/>
      <c r="AA4" s="201"/>
      <c r="AB4" s="204"/>
      <c r="AC4" s="60"/>
      <c r="AD4" s="60"/>
      <c r="AE4" s="61"/>
      <c r="AF4" s="61"/>
      <c r="AG4" s="61"/>
      <c r="AH4" s="60"/>
      <c r="AI4" s="60"/>
      <c r="AJ4" s="60"/>
      <c r="AK4" s="60"/>
    </row>
    <row r="5" spans="1:37" ht="20.149999999999999" customHeight="1">
      <c r="A5" s="43" t="str">
        <f>Acc!A5</f>
        <v>Enable</v>
      </c>
      <c r="B5" s="114" t="str">
        <f>Acc!B5</f>
        <v>scm-inj-lb-2</v>
      </c>
      <c r="C5" s="61"/>
      <c r="D5" s="161"/>
      <c r="E5" s="161"/>
      <c r="F5" s="47"/>
      <c r="G5" s="47"/>
      <c r="H5" s="47"/>
      <c r="I5" s="47"/>
      <c r="J5" s="47"/>
      <c r="K5" s="47"/>
      <c r="L5" s="47"/>
      <c r="M5" s="47"/>
      <c r="N5" s="47"/>
      <c r="O5" s="47"/>
      <c r="P5" s="47"/>
      <c r="Q5" s="47"/>
      <c r="R5" s="47"/>
      <c r="S5" s="47"/>
      <c r="T5" s="47"/>
      <c r="U5" s="60"/>
      <c r="V5" s="60"/>
      <c r="W5" s="47"/>
      <c r="X5" s="60"/>
      <c r="Y5" s="60"/>
      <c r="Z5" s="60"/>
      <c r="AA5" s="201"/>
      <c r="AB5" s="204"/>
      <c r="AC5" s="60"/>
      <c r="AD5" s="60"/>
      <c r="AE5" s="61"/>
      <c r="AF5" s="61"/>
      <c r="AG5" s="61"/>
      <c r="AH5" s="60"/>
      <c r="AI5" s="60"/>
      <c r="AJ5" s="60"/>
      <c r="AK5" s="60"/>
    </row>
    <row r="6" spans="1:37" ht="20.149999999999999" customHeight="1">
      <c r="A6" s="43" t="str">
        <f>Acc!A6</f>
        <v>Enable</v>
      </c>
      <c r="B6" s="114" t="str">
        <f>Acc!B6</f>
        <v>scm-bc1-1</v>
      </c>
      <c r="C6" s="61"/>
      <c r="D6" s="161" t="s">
        <v>1327</v>
      </c>
      <c r="E6" s="161"/>
      <c r="F6" s="47"/>
      <c r="G6" s="47"/>
      <c r="H6" s="47"/>
      <c r="I6" s="47"/>
      <c r="J6" s="47"/>
      <c r="K6" s="47"/>
      <c r="L6" s="47"/>
      <c r="M6" s="47"/>
      <c r="N6" s="47"/>
      <c r="O6" s="47"/>
      <c r="P6" s="47"/>
      <c r="Q6" s="47"/>
      <c r="R6" s="47"/>
      <c r="S6" s="47"/>
      <c r="T6" s="47"/>
      <c r="U6" s="60"/>
      <c r="V6" s="60"/>
      <c r="W6" s="47"/>
      <c r="X6" s="60"/>
      <c r="Y6" s="60"/>
      <c r="Z6" s="60"/>
      <c r="AA6" s="201"/>
      <c r="AB6" s="204"/>
      <c r="AC6" s="60"/>
      <c r="AD6" s="60"/>
      <c r="AE6" s="61"/>
      <c r="AF6" s="61"/>
      <c r="AG6" s="61"/>
      <c r="AH6" s="60"/>
      <c r="AI6" s="60"/>
      <c r="AJ6" s="60"/>
      <c r="AK6" s="60"/>
    </row>
    <row r="7" spans="1:37" ht="20.149999999999999" customHeight="1">
      <c r="A7" s="43" t="str">
        <f>Acc!A7</f>
        <v>Enable</v>
      </c>
      <c r="B7" s="114" t="str">
        <f>Acc!B7</f>
        <v>scm-bc1-2</v>
      </c>
      <c r="C7" s="66"/>
      <c r="D7" s="161" t="s">
        <v>1327</v>
      </c>
      <c r="E7" s="162"/>
      <c r="F7" s="2"/>
      <c r="G7" s="2"/>
      <c r="H7" s="2"/>
      <c r="I7" s="2"/>
      <c r="J7" s="2"/>
      <c r="K7" s="2"/>
      <c r="L7" s="2"/>
      <c r="M7" s="2"/>
      <c r="N7" s="47"/>
      <c r="O7" s="2"/>
      <c r="P7" s="2"/>
      <c r="Q7" s="2"/>
      <c r="R7" s="2"/>
      <c r="S7" s="2"/>
      <c r="T7" s="2"/>
      <c r="U7" s="64"/>
      <c r="V7" s="64"/>
      <c r="W7" s="2"/>
      <c r="X7" s="64"/>
      <c r="Y7" s="64"/>
      <c r="Z7" s="64"/>
      <c r="AA7" s="201"/>
      <c r="AB7" s="204"/>
      <c r="AC7" s="64"/>
      <c r="AD7" s="64"/>
      <c r="AE7" s="66"/>
      <c r="AF7" s="66"/>
      <c r="AG7" s="66"/>
      <c r="AH7" s="64"/>
      <c r="AI7" s="64"/>
      <c r="AJ7" s="64"/>
      <c r="AK7" s="64"/>
    </row>
    <row r="8" spans="1:37" ht="20.149999999999999" customHeight="1">
      <c r="A8" s="43" t="str">
        <f>Acc!A8</f>
        <v>Enable</v>
      </c>
      <c r="B8" s="114" t="str">
        <f>Acc!B8</f>
        <v>scm-bc1-4</v>
      </c>
      <c r="C8" s="61"/>
      <c r="D8" s="161" t="s">
        <v>1327</v>
      </c>
      <c r="E8" s="161"/>
      <c r="F8" s="47"/>
      <c r="G8" s="47"/>
      <c r="H8" s="47"/>
      <c r="I8" s="47"/>
      <c r="J8" s="47"/>
      <c r="K8" s="47"/>
      <c r="L8" s="47"/>
      <c r="M8" s="47"/>
      <c r="N8" s="47"/>
      <c r="O8" s="47"/>
      <c r="P8" s="47"/>
      <c r="Q8" s="47"/>
      <c r="R8" s="47"/>
      <c r="S8" s="47"/>
      <c r="T8" s="47"/>
      <c r="U8" s="60"/>
      <c r="V8" s="60"/>
      <c r="W8" s="47"/>
      <c r="X8" s="60"/>
      <c r="Y8" s="60"/>
      <c r="Z8" s="60"/>
      <c r="AA8" s="201"/>
      <c r="AB8" s="204"/>
      <c r="AC8" s="60"/>
      <c r="AD8" s="60"/>
      <c r="AE8" s="61"/>
      <c r="AF8" s="61"/>
      <c r="AG8" s="61"/>
      <c r="AH8" s="60"/>
      <c r="AI8" s="60"/>
      <c r="AJ8" s="60"/>
      <c r="AK8" s="60"/>
    </row>
    <row r="9" spans="1:37" ht="20.149999999999999" customHeight="1">
      <c r="A9" s="43" t="str">
        <f>Acc!A9</f>
        <v>Enable</v>
      </c>
      <c r="B9" s="114" t="str">
        <f>Acc!B9</f>
        <v>scm-sb-1</v>
      </c>
      <c r="C9" s="61"/>
      <c r="D9" s="161"/>
      <c r="E9" s="161"/>
      <c r="F9" s="47"/>
      <c r="G9" s="47"/>
      <c r="H9" s="47"/>
      <c r="I9" s="47"/>
      <c r="J9" s="47"/>
      <c r="K9" s="47"/>
      <c r="L9" s="47"/>
      <c r="M9" s="47"/>
      <c r="N9" s="47"/>
      <c r="O9" s="47"/>
      <c r="P9" s="47"/>
      <c r="Q9" s="47"/>
      <c r="R9" s="47"/>
      <c r="S9" s="47"/>
      <c r="T9" s="47"/>
      <c r="U9" s="60"/>
      <c r="V9" s="60"/>
      <c r="W9" s="47" t="s">
        <v>421</v>
      </c>
      <c r="X9" s="60"/>
      <c r="Y9" s="60"/>
      <c r="Z9" s="60"/>
      <c r="AA9" s="201"/>
      <c r="AB9" s="204"/>
      <c r="AC9" s="60"/>
      <c r="AD9" s="60"/>
      <c r="AE9" s="61"/>
      <c r="AF9" s="61"/>
      <c r="AG9" s="61"/>
      <c r="AH9" s="60"/>
      <c r="AI9" s="60"/>
      <c r="AJ9" s="60"/>
      <c r="AK9" s="60"/>
    </row>
    <row r="10" spans="1:37" ht="20.149999999999999" customHeight="1">
      <c r="A10" s="43" t="str">
        <f>Acc!A10</f>
        <v>Enable</v>
      </c>
      <c r="B10" s="114" t="str">
        <f>Acc!B10</f>
        <v>scm-sb-2</v>
      </c>
      <c r="C10" s="61"/>
      <c r="D10" s="161"/>
      <c r="E10" s="161"/>
      <c r="F10" s="47"/>
      <c r="G10" s="47"/>
      <c r="H10" s="47"/>
      <c r="I10" s="47"/>
      <c r="J10" s="47"/>
      <c r="K10" s="47"/>
      <c r="L10" s="47"/>
      <c r="M10" s="47"/>
      <c r="N10" s="47"/>
      <c r="O10" s="47"/>
      <c r="P10" s="47"/>
      <c r="Q10" s="47"/>
      <c r="R10" s="47"/>
      <c r="S10" s="47"/>
      <c r="T10" s="47"/>
      <c r="U10" s="60"/>
      <c r="V10" s="60"/>
      <c r="W10" s="47"/>
      <c r="X10" s="60"/>
      <c r="Y10" s="60"/>
      <c r="Z10" s="60"/>
      <c r="AA10" s="201"/>
      <c r="AB10" s="204"/>
      <c r="AC10" s="60"/>
      <c r="AD10" s="60"/>
      <c r="AE10" s="61"/>
      <c r="AF10" s="61"/>
      <c r="AG10" s="61"/>
      <c r="AH10" s="60"/>
      <c r="AI10" s="60"/>
      <c r="AJ10" s="60"/>
      <c r="AK10" s="60"/>
    </row>
    <row r="11" spans="1:37" ht="20.149999999999999" customHeight="1">
      <c r="A11" s="43" t="str">
        <f>Acc!A11</f>
        <v>Enable</v>
      </c>
      <c r="B11" s="114" t="str">
        <f>Acc!B11</f>
        <v>scm-bc2-1</v>
      </c>
      <c r="C11" s="61"/>
      <c r="D11" s="161"/>
      <c r="E11" s="161"/>
      <c r="F11" s="47"/>
      <c r="G11" s="47"/>
      <c r="H11" s="47"/>
      <c r="I11" s="47"/>
      <c r="J11" s="47"/>
      <c r="K11" s="47"/>
      <c r="L11" s="47"/>
      <c r="M11" s="47"/>
      <c r="N11" s="47"/>
      <c r="O11" s="47"/>
      <c r="P11" s="47"/>
      <c r="Q11" s="47"/>
      <c r="R11" s="47"/>
      <c r="S11" s="47"/>
      <c r="T11" s="68"/>
      <c r="U11" s="67"/>
      <c r="V11" s="67"/>
      <c r="W11" s="68"/>
      <c r="X11" s="67"/>
      <c r="Y11" s="67"/>
      <c r="Z11" s="67"/>
      <c r="AA11" s="201"/>
      <c r="AB11" s="205"/>
      <c r="AC11" s="60"/>
      <c r="AD11" s="60"/>
      <c r="AE11" s="61"/>
      <c r="AF11" s="61"/>
      <c r="AG11" s="61"/>
      <c r="AH11" s="60"/>
      <c r="AI11" s="60"/>
      <c r="AJ11" s="60"/>
      <c r="AK11" s="60"/>
    </row>
    <row r="12" spans="1:37" ht="20.149999999999999" customHeight="1">
      <c r="A12" s="43" t="str">
        <f>Acc!A12</f>
        <v>Enable</v>
      </c>
      <c r="B12" s="114" t="str">
        <f>Acc!B12</f>
        <v>scm-bc2-2</v>
      </c>
      <c r="C12" s="66"/>
      <c r="D12" s="162"/>
      <c r="E12" s="162"/>
      <c r="F12" s="2"/>
      <c r="G12" s="2"/>
      <c r="H12" s="2"/>
      <c r="I12" s="2"/>
      <c r="J12" s="2"/>
      <c r="K12" s="2"/>
      <c r="L12" s="2"/>
      <c r="M12" s="2"/>
      <c r="N12" s="47"/>
      <c r="O12" s="2"/>
      <c r="P12" s="2"/>
      <c r="Q12" s="2"/>
      <c r="R12" s="2"/>
      <c r="S12" s="2"/>
      <c r="T12" s="2"/>
      <c r="U12" s="64"/>
      <c r="V12" s="69"/>
      <c r="W12" s="70"/>
      <c r="X12" s="69"/>
      <c r="Y12" s="69"/>
      <c r="Z12" s="69"/>
      <c r="AA12" s="201"/>
      <c r="AB12" s="206" t="s">
        <v>422</v>
      </c>
      <c r="AC12" s="64"/>
      <c r="AD12" s="64"/>
      <c r="AE12" s="66"/>
      <c r="AF12" s="66"/>
      <c r="AG12" s="66"/>
      <c r="AH12" s="64"/>
      <c r="AI12" s="64"/>
      <c r="AJ12" s="64"/>
      <c r="AK12" s="64"/>
    </row>
    <row r="13" spans="1:37" ht="20.149999999999999" customHeight="1">
      <c r="A13" s="43" t="str">
        <f>Acc!A13</f>
        <v>Enable</v>
      </c>
      <c r="B13" s="114" t="str">
        <f>Acc!B13</f>
        <v>scm-bc2-4</v>
      </c>
      <c r="C13" s="162" t="s">
        <v>1328</v>
      </c>
      <c r="D13" s="162"/>
      <c r="E13" s="162"/>
      <c r="F13" s="2"/>
      <c r="G13" s="2"/>
      <c r="H13" s="2"/>
      <c r="I13" s="2"/>
      <c r="J13" s="2"/>
      <c r="K13" s="2"/>
      <c r="L13" s="2"/>
      <c r="M13" s="2"/>
      <c r="N13" s="2"/>
      <c r="O13" s="2"/>
      <c r="P13" s="2"/>
      <c r="Q13" s="2"/>
      <c r="R13" s="2"/>
      <c r="S13" s="2"/>
      <c r="T13" s="2"/>
      <c r="U13" s="64" t="s">
        <v>423</v>
      </c>
      <c r="V13" s="64"/>
      <c r="W13" s="2"/>
      <c r="X13" s="64"/>
      <c r="Y13" s="64"/>
      <c r="Z13" s="64"/>
      <c r="AA13" s="201"/>
      <c r="AB13" s="204"/>
      <c r="AC13" s="64"/>
      <c r="AD13" s="64"/>
      <c r="AE13" s="66"/>
      <c r="AF13" s="66"/>
      <c r="AG13" s="66"/>
      <c r="AH13" s="64"/>
      <c r="AI13" s="64"/>
      <c r="AJ13" s="64"/>
      <c r="AK13" s="64"/>
    </row>
    <row r="14" spans="1:37" ht="20.149999999999999" customHeight="1">
      <c r="A14" s="43" t="str">
        <f>Acc!A14</f>
        <v>Enable</v>
      </c>
      <c r="B14" s="114" t="str">
        <f>Acc!B14</f>
        <v>scm-cb01</v>
      </c>
      <c r="C14" s="61"/>
      <c r="D14" s="161"/>
      <c r="E14" s="161"/>
      <c r="F14" s="47"/>
      <c r="G14" s="47"/>
      <c r="H14" s="47"/>
      <c r="I14" s="47"/>
      <c r="J14" s="47"/>
      <c r="K14" s="47"/>
      <c r="L14" s="47"/>
      <c r="M14" s="47"/>
      <c r="N14" s="47"/>
      <c r="O14" s="47"/>
      <c r="P14" s="47"/>
      <c r="Q14" s="47"/>
      <c r="R14" s="47"/>
      <c r="S14" s="47"/>
      <c r="T14" s="47"/>
      <c r="U14" s="60"/>
      <c r="V14" s="60"/>
      <c r="W14" s="47"/>
      <c r="X14" s="60"/>
      <c r="Y14" s="60"/>
      <c r="Z14" s="60"/>
      <c r="AA14" s="201"/>
      <c r="AB14" s="204"/>
      <c r="AC14" s="60"/>
      <c r="AD14" s="60"/>
      <c r="AE14" s="61"/>
      <c r="AF14" s="61"/>
      <c r="AG14" s="61"/>
      <c r="AH14" s="60"/>
      <c r="AI14" s="60"/>
      <c r="AJ14" s="60"/>
      <c r="AK14" s="60"/>
    </row>
    <row r="15" spans="1:37" ht="20.149999999999999" customHeight="1">
      <c r="A15" s="43" t="str">
        <f>Acc!A15</f>
        <v>Enable</v>
      </c>
      <c r="B15" s="114" t="str">
        <f>Acc!B15</f>
        <v>scm-bc3-1</v>
      </c>
      <c r="C15" s="61"/>
      <c r="D15" s="181" t="s">
        <v>1319</v>
      </c>
      <c r="E15" s="161" t="s">
        <v>889</v>
      </c>
      <c r="F15" s="47"/>
      <c r="G15" s="47"/>
      <c r="H15" s="47"/>
      <c r="I15" s="47"/>
      <c r="J15" s="47"/>
      <c r="K15" s="47"/>
      <c r="L15" s="47"/>
      <c r="M15" s="47"/>
      <c r="N15" s="47" t="s">
        <v>424</v>
      </c>
      <c r="O15" s="47" t="s">
        <v>425</v>
      </c>
      <c r="P15" s="47"/>
      <c r="Q15" s="47"/>
      <c r="R15" s="47"/>
      <c r="S15" s="47"/>
      <c r="T15" s="207" t="s">
        <v>426</v>
      </c>
      <c r="U15" s="60"/>
      <c r="V15" s="60"/>
      <c r="W15" s="47"/>
      <c r="X15" s="60"/>
      <c r="Y15" s="60"/>
      <c r="Z15" s="60"/>
      <c r="AA15" s="201"/>
      <c r="AB15" s="204"/>
      <c r="AC15" s="60"/>
      <c r="AD15" s="60"/>
      <c r="AE15" s="61" t="s">
        <v>427</v>
      </c>
      <c r="AF15" s="61"/>
      <c r="AG15" s="61"/>
      <c r="AH15" s="60"/>
      <c r="AI15" s="60"/>
      <c r="AJ15" s="60"/>
      <c r="AK15" s="60"/>
    </row>
    <row r="16" spans="1:37" ht="20.149999999999999" customHeight="1">
      <c r="A16" s="43" t="str">
        <f>Acc!A16</f>
        <v>Enable</v>
      </c>
      <c r="B16" s="114" t="str">
        <f>Acc!B16</f>
        <v>scm-bc3-2</v>
      </c>
      <c r="C16" s="66" t="s">
        <v>1326</v>
      </c>
      <c r="D16" s="181" t="s">
        <v>1325</v>
      </c>
      <c r="E16" s="161" t="s">
        <v>889</v>
      </c>
      <c r="F16" s="2"/>
      <c r="G16" s="47"/>
      <c r="H16" s="2"/>
      <c r="I16" s="2"/>
      <c r="J16" s="2"/>
      <c r="K16" s="2"/>
      <c r="L16" s="2"/>
      <c r="M16" s="2"/>
      <c r="N16" s="47"/>
      <c r="O16" s="2"/>
      <c r="P16" s="2"/>
      <c r="Q16" s="2"/>
      <c r="R16" s="2"/>
      <c r="S16" s="2"/>
      <c r="T16" s="208"/>
      <c r="U16" s="71" t="s">
        <v>428</v>
      </c>
      <c r="V16" s="64" t="s">
        <v>429</v>
      </c>
      <c r="W16" s="2"/>
      <c r="X16" s="64"/>
      <c r="Y16" s="64"/>
      <c r="Z16" s="64"/>
      <c r="AA16" s="201"/>
      <c r="AB16" s="204"/>
      <c r="AC16" s="64"/>
      <c r="AD16" s="64"/>
      <c r="AE16" s="66"/>
      <c r="AF16" s="66"/>
      <c r="AG16" s="66"/>
      <c r="AH16" s="64"/>
      <c r="AI16" s="64"/>
      <c r="AJ16" s="64"/>
      <c r="AK16" s="64"/>
    </row>
    <row r="17" spans="1:37" ht="20.149999999999999" customHeight="1">
      <c r="A17" s="43" t="str">
        <f>Acc!A17</f>
        <v>Disable</v>
      </c>
      <c r="B17" s="114" t="str">
        <f>Acc!B17</f>
        <v>scm-bc3-4</v>
      </c>
      <c r="C17" s="74"/>
      <c r="D17" s="162"/>
      <c r="E17" s="163"/>
      <c r="F17" s="73"/>
      <c r="G17" s="73"/>
      <c r="H17" s="73"/>
      <c r="I17" s="73"/>
      <c r="J17" s="73"/>
      <c r="K17" s="73"/>
      <c r="L17" s="73"/>
      <c r="M17" s="73"/>
      <c r="N17" s="73"/>
      <c r="O17" s="73"/>
      <c r="P17" s="73"/>
      <c r="Q17" s="73"/>
      <c r="R17" s="73"/>
      <c r="S17" s="74"/>
      <c r="T17" s="208"/>
      <c r="U17" s="74"/>
      <c r="V17" s="72"/>
      <c r="W17" s="73"/>
      <c r="X17" s="72"/>
      <c r="Y17" s="72"/>
      <c r="Z17" s="72"/>
      <c r="AA17" s="201"/>
      <c r="AB17" s="204"/>
      <c r="AC17" s="72"/>
      <c r="AD17" s="72"/>
      <c r="AE17" s="74" t="s">
        <v>430</v>
      </c>
      <c r="AF17" s="74"/>
      <c r="AG17" s="74"/>
      <c r="AH17" s="72"/>
      <c r="AI17" s="72"/>
      <c r="AJ17" s="72"/>
      <c r="AK17" s="72"/>
    </row>
    <row r="18" spans="1:37" ht="20.149999999999999" customHeight="1">
      <c r="A18" s="43" t="str">
        <f>Acc!A18</f>
        <v>Enable</v>
      </c>
      <c r="B18" s="114" t="str">
        <f>Acc!B18</f>
        <v>scm-rfdef</v>
      </c>
      <c r="C18" s="66"/>
      <c r="D18" s="162"/>
      <c r="E18" s="161" t="s">
        <v>889</v>
      </c>
      <c r="F18" s="2"/>
      <c r="G18" s="2"/>
      <c r="H18" s="2"/>
      <c r="I18" s="2"/>
      <c r="J18" s="2"/>
      <c r="K18" s="2"/>
      <c r="L18" s="2"/>
      <c r="M18" s="2"/>
      <c r="N18" s="2"/>
      <c r="O18" s="2"/>
      <c r="P18" s="2"/>
      <c r="Q18" s="2"/>
      <c r="R18" s="2"/>
      <c r="S18" s="2"/>
      <c r="T18" s="208"/>
      <c r="U18" s="71" t="s">
        <v>431</v>
      </c>
      <c r="V18" s="64"/>
      <c r="W18" s="2"/>
      <c r="X18" s="64"/>
      <c r="Y18" s="64"/>
      <c r="Z18" s="64"/>
      <c r="AA18" s="201"/>
      <c r="AB18" s="204"/>
      <c r="AC18" s="64"/>
      <c r="AD18" s="64"/>
      <c r="AE18" s="66"/>
      <c r="AF18" s="66"/>
      <c r="AG18" s="66"/>
      <c r="AH18" s="64"/>
      <c r="AI18" s="64"/>
      <c r="AJ18" s="64"/>
      <c r="AK18" s="64"/>
    </row>
    <row r="19" spans="1:37" ht="20.149999999999999" customHeight="1">
      <c r="A19" s="43" t="str">
        <f>Acc!A19</f>
        <v>Enable</v>
      </c>
      <c r="B19" s="114" t="str">
        <f>Acc!B19</f>
        <v>scm-rfdef-2</v>
      </c>
      <c r="C19" s="61"/>
      <c r="D19" s="181" t="s">
        <v>430</v>
      </c>
      <c r="E19" s="161" t="s">
        <v>889</v>
      </c>
      <c r="F19" s="47"/>
      <c r="G19" s="47"/>
      <c r="H19" s="47"/>
      <c r="I19" s="47"/>
      <c r="J19" s="47"/>
      <c r="K19" s="47"/>
      <c r="L19" s="47"/>
      <c r="M19" s="47"/>
      <c r="N19" s="47"/>
      <c r="O19" s="47"/>
      <c r="P19" s="47"/>
      <c r="Q19" s="47"/>
      <c r="R19" s="47"/>
      <c r="S19" s="47"/>
      <c r="T19" s="208"/>
      <c r="U19" s="60"/>
      <c r="V19" s="60"/>
      <c r="W19" s="47"/>
      <c r="X19" s="60"/>
      <c r="Y19" s="60"/>
      <c r="Z19" s="60"/>
      <c r="AA19" s="201"/>
      <c r="AB19" s="204"/>
      <c r="AC19" s="60"/>
      <c r="AD19" s="60"/>
      <c r="AE19" s="61"/>
      <c r="AF19" s="61"/>
      <c r="AG19" s="61"/>
      <c r="AH19" s="60"/>
      <c r="AI19" s="60"/>
      <c r="AJ19" s="60"/>
      <c r="AK19" s="60"/>
    </row>
    <row r="20" spans="1:37" ht="20.149999999999999" customHeight="1">
      <c r="A20" s="173" t="str">
        <f>Acc!A20</f>
        <v>Enable</v>
      </c>
      <c r="B20" s="114" t="str">
        <f>Acc!B20</f>
        <v>scm-cb05</v>
      </c>
      <c r="C20" s="61"/>
      <c r="D20" s="181" t="s">
        <v>1318</v>
      </c>
      <c r="E20" s="161" t="s">
        <v>889</v>
      </c>
      <c r="F20" s="47"/>
      <c r="G20" s="47"/>
      <c r="H20" s="47"/>
      <c r="I20" s="47"/>
      <c r="J20" s="143"/>
      <c r="K20" s="47"/>
      <c r="L20" s="47"/>
      <c r="M20" s="47"/>
      <c r="N20" s="47"/>
      <c r="O20" s="47"/>
      <c r="P20" s="47"/>
      <c r="Q20" s="47"/>
      <c r="R20" s="47"/>
      <c r="S20" s="47"/>
      <c r="T20" s="208"/>
      <c r="U20" s="60"/>
      <c r="V20" s="60"/>
      <c r="W20" s="47"/>
      <c r="X20" s="60"/>
      <c r="Y20" s="60"/>
      <c r="Z20" s="60"/>
      <c r="AA20" s="201"/>
      <c r="AB20" s="204"/>
      <c r="AC20" s="60"/>
      <c r="AD20" s="60"/>
      <c r="AE20" s="61"/>
      <c r="AF20" s="61"/>
      <c r="AG20" s="61"/>
      <c r="AH20" s="60"/>
      <c r="AI20" s="60"/>
      <c r="AJ20" s="60"/>
      <c r="AK20" s="60"/>
    </row>
    <row r="21" spans="1:37" ht="20.149999999999999" customHeight="1">
      <c r="A21" s="43" t="str">
        <f>Acc!A21</f>
        <v>Disable</v>
      </c>
      <c r="B21" s="114" t="str">
        <f>Acc!B21</f>
        <v>scm-cb07</v>
      </c>
      <c r="C21" s="74"/>
      <c r="D21" s="163"/>
      <c r="E21" s="163"/>
      <c r="F21" s="73"/>
      <c r="G21" s="73"/>
      <c r="H21" s="73"/>
      <c r="I21" s="73"/>
      <c r="J21" s="73"/>
      <c r="K21" s="73"/>
      <c r="L21" s="73"/>
      <c r="M21" s="73"/>
      <c r="N21" s="73"/>
      <c r="O21" s="73"/>
      <c r="P21" s="73"/>
      <c r="Q21" s="73"/>
      <c r="R21" s="73"/>
      <c r="S21" s="74"/>
      <c r="T21" s="208"/>
      <c r="U21" s="74"/>
      <c r="V21" s="72"/>
      <c r="W21" s="73"/>
      <c r="X21" s="72"/>
      <c r="Y21" s="72"/>
      <c r="Z21" s="72"/>
      <c r="AA21" s="201"/>
      <c r="AB21" s="204"/>
      <c r="AC21" s="72"/>
      <c r="AD21" s="72"/>
      <c r="AE21" s="74" t="s">
        <v>430</v>
      </c>
      <c r="AF21" s="74"/>
      <c r="AG21" s="74"/>
      <c r="AH21" s="75" t="s">
        <v>432</v>
      </c>
      <c r="AI21" s="75"/>
      <c r="AJ21" s="75"/>
      <c r="AK21" s="72" t="s">
        <v>433</v>
      </c>
    </row>
    <row r="22" spans="1:37" ht="20.149999999999999" customHeight="1">
      <c r="A22" s="43" t="str">
        <f>Acc!A22</f>
        <v>Disable</v>
      </c>
      <c r="B22" s="114" t="str">
        <f>Acc!B22</f>
        <v>scm-efch</v>
      </c>
      <c r="C22" s="74"/>
      <c r="D22" s="163"/>
      <c r="E22" s="163"/>
      <c r="F22" s="73"/>
      <c r="G22" s="73"/>
      <c r="H22" s="73"/>
      <c r="I22" s="73"/>
      <c r="J22" s="73"/>
      <c r="K22" s="73"/>
      <c r="L22" s="73"/>
      <c r="M22" s="73"/>
      <c r="N22" s="73"/>
      <c r="O22" s="73"/>
      <c r="P22" s="73"/>
      <c r="Q22" s="73"/>
      <c r="R22" s="73"/>
      <c r="S22" s="74"/>
      <c r="T22" s="208"/>
      <c r="U22" s="74"/>
      <c r="V22" s="72"/>
      <c r="W22" s="73"/>
      <c r="X22" s="72"/>
      <c r="Y22" s="72"/>
      <c r="Z22" s="72"/>
      <c r="AA22" s="201"/>
      <c r="AB22" s="204"/>
      <c r="AC22" s="72"/>
      <c r="AD22" s="72"/>
      <c r="AE22" s="74"/>
      <c r="AF22" s="74"/>
      <c r="AG22" s="74"/>
      <c r="AH22" s="72"/>
      <c r="AI22" s="72"/>
      <c r="AJ22" s="72"/>
      <c r="AK22" s="72"/>
    </row>
    <row r="23" spans="1:37" ht="20.149999999999999" customHeight="1">
      <c r="A23" s="43" t="str">
        <f>Acc!A23</f>
        <v>Enable</v>
      </c>
      <c r="B23" s="114" t="str">
        <f>Acc!B23</f>
        <v>scm-cb09</v>
      </c>
      <c r="C23" s="61"/>
      <c r="D23" s="161"/>
      <c r="E23" s="161"/>
      <c r="F23" s="47"/>
      <c r="G23" s="47"/>
      <c r="H23" s="47"/>
      <c r="I23" s="47"/>
      <c r="J23" s="47"/>
      <c r="K23" s="47"/>
      <c r="L23" s="47"/>
      <c r="M23" s="47"/>
      <c r="N23" s="47"/>
      <c r="O23" s="47"/>
      <c r="P23" s="47"/>
      <c r="Q23" s="47"/>
      <c r="R23" s="47"/>
      <c r="S23" s="47"/>
      <c r="T23" s="208"/>
      <c r="U23" s="60"/>
      <c r="V23" s="60"/>
      <c r="W23" s="47"/>
      <c r="X23" s="60"/>
      <c r="Y23" s="60"/>
      <c r="Z23" s="60"/>
      <c r="AA23" s="201"/>
      <c r="AB23" s="204"/>
      <c r="AC23" s="60"/>
      <c r="AD23" s="60"/>
      <c r="AE23" s="61"/>
      <c r="AF23" s="61"/>
      <c r="AG23" s="61"/>
      <c r="AH23" s="60"/>
      <c r="AI23" s="60"/>
      <c r="AJ23" s="60"/>
      <c r="AK23" s="60"/>
    </row>
    <row r="24" spans="1:37" ht="20.149999999999999" customHeight="1">
      <c r="A24" s="43" t="str">
        <f>Acc!A24</f>
        <v>Disable</v>
      </c>
      <c r="B24" s="114" t="str">
        <f>Acc!B24</f>
        <v>scm-cb11</v>
      </c>
      <c r="C24" s="61"/>
      <c r="D24" s="161"/>
      <c r="E24" s="161"/>
      <c r="F24" s="47"/>
      <c r="G24" s="47"/>
      <c r="H24" s="47"/>
      <c r="I24" s="47"/>
      <c r="J24" s="47"/>
      <c r="K24" s="47"/>
      <c r="L24" s="47"/>
      <c r="M24" s="47"/>
      <c r="N24" s="47"/>
      <c r="O24" s="47"/>
      <c r="P24" s="47"/>
      <c r="Q24" s="47"/>
      <c r="R24" s="47"/>
      <c r="S24" s="47"/>
      <c r="T24" s="47"/>
      <c r="U24" s="60"/>
      <c r="V24" s="60"/>
      <c r="W24" s="199" t="s">
        <v>434</v>
      </c>
      <c r="X24" s="60"/>
      <c r="Y24" s="60"/>
      <c r="Z24" s="60"/>
      <c r="AA24" s="201"/>
      <c r="AB24" s="204"/>
      <c r="AC24" s="60"/>
      <c r="AD24" s="60"/>
      <c r="AE24" s="61"/>
      <c r="AF24" s="61"/>
      <c r="AG24" s="61"/>
      <c r="AH24" s="60"/>
      <c r="AI24" s="60"/>
      <c r="AJ24" s="60"/>
      <c r="AK24" s="60"/>
    </row>
    <row r="25" spans="1:37" ht="20.149999999999999" customHeight="1">
      <c r="A25" s="43" t="str">
        <f>Acc!A25</f>
        <v>Disable</v>
      </c>
      <c r="B25" s="114" t="str">
        <f>Acc!B25</f>
        <v>scm-cb13</v>
      </c>
      <c r="C25" s="61"/>
      <c r="D25" s="161"/>
      <c r="E25" s="161"/>
      <c r="F25" s="47"/>
      <c r="G25" s="47"/>
      <c r="H25" s="47"/>
      <c r="I25" s="47"/>
      <c r="J25" s="77" t="s">
        <v>757</v>
      </c>
      <c r="K25" s="47"/>
      <c r="L25" s="8" t="s">
        <v>711</v>
      </c>
      <c r="M25" s="47" t="s">
        <v>492</v>
      </c>
      <c r="N25" s="47"/>
      <c r="O25" s="47"/>
      <c r="P25" s="47"/>
      <c r="Q25" s="47"/>
      <c r="R25" s="47"/>
      <c r="S25" s="47"/>
      <c r="T25" s="47"/>
      <c r="U25" s="76" t="s">
        <v>435</v>
      </c>
      <c r="V25" s="60"/>
      <c r="W25" s="209"/>
      <c r="X25" s="60"/>
      <c r="Y25" s="60"/>
      <c r="Z25" s="60"/>
      <c r="AA25" s="201"/>
      <c r="AB25" s="204"/>
      <c r="AC25" s="60"/>
      <c r="AD25" s="60"/>
      <c r="AE25" s="61"/>
      <c r="AF25" s="210" t="s">
        <v>436</v>
      </c>
      <c r="AG25" s="61"/>
      <c r="AH25" s="60"/>
      <c r="AI25" s="60"/>
      <c r="AJ25" s="60"/>
      <c r="AK25" s="60"/>
    </row>
    <row r="26" spans="1:37" ht="20.149999999999999" customHeight="1">
      <c r="A26" s="43" t="str">
        <f>Acc!A26</f>
        <v>Enable</v>
      </c>
      <c r="B26" s="114" t="str">
        <f>Acc!B26</f>
        <v>scm-cb15</v>
      </c>
      <c r="C26" s="61"/>
      <c r="D26" s="181" t="s">
        <v>1319</v>
      </c>
      <c r="E26" s="161"/>
      <c r="F26" s="47"/>
      <c r="G26" s="47"/>
      <c r="H26" s="47"/>
      <c r="I26" s="47"/>
      <c r="J26" s="47"/>
      <c r="K26" s="47"/>
      <c r="L26" s="47" t="s">
        <v>492</v>
      </c>
      <c r="M26" s="47" t="s">
        <v>492</v>
      </c>
      <c r="N26" s="47"/>
      <c r="O26" s="47" t="s">
        <v>425</v>
      </c>
      <c r="P26" s="47"/>
      <c r="Q26" s="77" t="s">
        <v>437</v>
      </c>
      <c r="R26" s="78" t="s">
        <v>438</v>
      </c>
      <c r="S26" s="47"/>
      <c r="T26" s="47"/>
      <c r="U26" s="60"/>
      <c r="V26" s="60"/>
      <c r="W26" s="209"/>
      <c r="X26" s="60"/>
      <c r="Y26" s="60"/>
      <c r="Z26" s="60"/>
      <c r="AA26" s="201"/>
      <c r="AB26" s="204"/>
      <c r="AC26" s="60"/>
      <c r="AD26" s="60"/>
      <c r="AE26" s="61"/>
      <c r="AF26" s="210"/>
      <c r="AG26" s="61"/>
      <c r="AH26" s="60"/>
      <c r="AI26" s="60"/>
      <c r="AJ26" s="60"/>
      <c r="AK26" s="60"/>
    </row>
    <row r="27" spans="1:37" ht="20.149999999999999" customHeight="1">
      <c r="A27" s="43" t="str">
        <f>Acc!A27</f>
        <v>Disable</v>
      </c>
      <c r="B27" s="114" t="str">
        <f>Acc!B27</f>
        <v>scm-cb17</v>
      </c>
      <c r="C27" s="61"/>
      <c r="D27" s="161"/>
      <c r="E27" s="161"/>
      <c r="F27" s="47"/>
      <c r="G27" s="47"/>
      <c r="H27" s="47"/>
      <c r="I27" s="47"/>
      <c r="J27" s="77" t="s">
        <v>757</v>
      </c>
      <c r="K27" s="47"/>
      <c r="L27" s="47" t="s">
        <v>657</v>
      </c>
      <c r="M27" s="47" t="s">
        <v>708</v>
      </c>
      <c r="N27" s="47"/>
      <c r="O27" s="47" t="s">
        <v>425</v>
      </c>
      <c r="P27" s="47"/>
      <c r="Q27" s="47"/>
      <c r="R27" s="47"/>
      <c r="S27" s="47"/>
      <c r="T27" s="47"/>
      <c r="U27" s="60"/>
      <c r="V27" s="60"/>
      <c r="W27" s="47" t="s">
        <v>439</v>
      </c>
      <c r="X27" s="60"/>
      <c r="Y27" s="60"/>
      <c r="Z27" s="60"/>
      <c r="AA27" s="201"/>
      <c r="AB27" s="204"/>
      <c r="AC27" s="60"/>
      <c r="AD27" s="60"/>
      <c r="AE27" s="61"/>
      <c r="AF27" s="210"/>
      <c r="AG27" s="79" t="s">
        <v>440</v>
      </c>
      <c r="AH27" s="60"/>
      <c r="AI27" s="60"/>
      <c r="AJ27" s="60"/>
      <c r="AK27" s="60"/>
    </row>
    <row r="28" spans="1:37" ht="20.149999999999999" customHeight="1">
      <c r="A28" s="43" t="str">
        <f>Acc!A28</f>
        <v>Enable</v>
      </c>
      <c r="B28" s="114" t="str">
        <f>Acc!B28</f>
        <v>scm-ms-1</v>
      </c>
      <c r="C28" s="66"/>
      <c r="D28" s="162"/>
      <c r="E28" s="162"/>
      <c r="F28" s="2"/>
      <c r="G28" s="2"/>
      <c r="H28" s="2" t="s">
        <v>813</v>
      </c>
      <c r="I28" s="2"/>
      <c r="J28" s="77"/>
      <c r="K28" s="2"/>
      <c r="L28" s="47"/>
      <c r="M28" s="2"/>
      <c r="N28" s="47"/>
      <c r="O28" s="2"/>
      <c r="P28" s="2"/>
      <c r="Q28" s="2"/>
      <c r="R28" s="47"/>
      <c r="S28" s="81"/>
      <c r="T28" s="81"/>
      <c r="U28" s="80"/>
      <c r="V28" s="80"/>
      <c r="W28" s="81"/>
      <c r="X28" s="80"/>
      <c r="Y28" s="80"/>
      <c r="Z28" s="80"/>
      <c r="AA28" s="201"/>
      <c r="AB28" s="205"/>
      <c r="AC28" s="64"/>
      <c r="AD28" s="64"/>
      <c r="AE28" s="66"/>
      <c r="AF28" s="66"/>
      <c r="AG28" s="66"/>
      <c r="AH28" s="64"/>
      <c r="AI28" s="64"/>
      <c r="AJ28" s="64"/>
      <c r="AK28" s="64"/>
    </row>
    <row r="29" spans="1:37" ht="20.149999999999999" customHeight="1">
      <c r="A29" s="43" t="str">
        <f>Acc!A29</f>
        <v>Enable</v>
      </c>
      <c r="B29" s="114" t="str">
        <f>Acc!B29</f>
        <v>scm-bta-1-1</v>
      </c>
      <c r="C29" s="61"/>
      <c r="D29" s="161"/>
      <c r="E29" s="161"/>
      <c r="F29" s="47"/>
      <c r="G29" s="47" t="s">
        <v>847</v>
      </c>
      <c r="H29" s="47"/>
      <c r="I29" s="47"/>
      <c r="J29" s="77"/>
      <c r="K29" s="47"/>
      <c r="L29" s="47"/>
      <c r="M29" s="47"/>
      <c r="N29" s="47"/>
      <c r="O29" s="47"/>
      <c r="P29" s="47"/>
      <c r="Q29" s="47"/>
      <c r="R29" s="47"/>
      <c r="S29" s="47" t="s">
        <v>441</v>
      </c>
      <c r="T29" s="47"/>
      <c r="U29" s="55"/>
      <c r="V29" s="55"/>
      <c r="W29" s="62"/>
      <c r="X29" s="55"/>
      <c r="Y29" s="55"/>
      <c r="Z29" s="55"/>
      <c r="AA29" s="201"/>
      <c r="AB29" s="206" t="s">
        <v>442</v>
      </c>
      <c r="AC29" s="60"/>
      <c r="AD29" s="60" t="s">
        <v>443</v>
      </c>
      <c r="AE29" s="61"/>
      <c r="AF29" s="61"/>
      <c r="AG29" s="61"/>
      <c r="AH29" s="60"/>
      <c r="AI29" s="60"/>
      <c r="AJ29" s="60"/>
      <c r="AK29" s="60"/>
    </row>
    <row r="30" spans="1:37" ht="20.149999999999999" customHeight="1">
      <c r="A30" s="43" t="str">
        <f>Acc!A30</f>
        <v>Enable</v>
      </c>
      <c r="B30" s="114" t="str">
        <f>Acc!B30</f>
        <v>scm-bta-1-2</v>
      </c>
      <c r="C30" s="61"/>
      <c r="D30" s="161"/>
      <c r="E30" s="161"/>
      <c r="F30" s="47"/>
      <c r="G30" s="47"/>
      <c r="H30" s="47"/>
      <c r="I30" s="47"/>
      <c r="J30" s="47"/>
      <c r="K30" s="47"/>
      <c r="L30" s="47"/>
      <c r="M30" s="47"/>
      <c r="N30" s="47"/>
      <c r="O30" s="47"/>
      <c r="P30" s="47"/>
      <c r="Q30" s="47"/>
      <c r="R30" s="47"/>
      <c r="S30" s="47"/>
      <c r="T30" s="47"/>
      <c r="U30" s="60" t="s">
        <v>444</v>
      </c>
      <c r="V30" s="60"/>
      <c r="W30" s="47"/>
      <c r="X30" s="60"/>
      <c r="Y30" s="60"/>
      <c r="Z30" s="60"/>
      <c r="AA30" s="201"/>
      <c r="AB30" s="204"/>
      <c r="AC30" s="60"/>
      <c r="AD30" s="60"/>
      <c r="AE30" s="61"/>
      <c r="AF30" s="61"/>
      <c r="AG30" s="61"/>
      <c r="AH30" s="60"/>
      <c r="AI30" s="60"/>
      <c r="AJ30" s="60"/>
      <c r="AK30" s="60"/>
    </row>
    <row r="31" spans="1:37" ht="20.149999999999999" customHeight="1">
      <c r="A31" s="43" t="str">
        <f>Acc!A31</f>
        <v>Enable</v>
      </c>
      <c r="B31" s="114" t="str">
        <f>Acc!B31</f>
        <v>scm-bta-1-3</v>
      </c>
      <c r="C31" s="61"/>
      <c r="D31" s="181" t="s">
        <v>1323</v>
      </c>
      <c r="E31" s="161"/>
      <c r="F31" s="47"/>
      <c r="G31" s="47"/>
      <c r="H31" s="47"/>
      <c r="I31" s="47"/>
      <c r="J31" s="47"/>
      <c r="K31" s="47"/>
      <c r="L31" s="47"/>
      <c r="M31" s="47"/>
      <c r="N31" s="47"/>
      <c r="O31" s="47"/>
      <c r="P31" s="47"/>
      <c r="Q31" s="47"/>
      <c r="R31" s="47"/>
      <c r="S31" s="47"/>
      <c r="T31" s="47"/>
      <c r="U31" s="60"/>
      <c r="V31" s="60" t="s">
        <v>445</v>
      </c>
      <c r="W31" s="47"/>
      <c r="X31" s="60"/>
      <c r="Y31" s="60"/>
      <c r="Z31" s="60"/>
      <c r="AA31" s="201"/>
      <c r="AB31" s="204"/>
      <c r="AC31" s="60"/>
      <c r="AD31" s="60"/>
      <c r="AE31" s="61"/>
      <c r="AF31" s="61"/>
      <c r="AG31" s="61"/>
      <c r="AH31" s="60"/>
      <c r="AI31" s="60"/>
      <c r="AJ31" s="60"/>
      <c r="AK31" s="60"/>
    </row>
    <row r="32" spans="1:37" ht="20.149999999999999" customHeight="1">
      <c r="A32" s="43" t="str">
        <f>Acc!A32</f>
        <v>Disable</v>
      </c>
      <c r="B32" s="114" t="str">
        <f>Acc!B32</f>
        <v>scm-bta-2-1</v>
      </c>
      <c r="C32" s="61"/>
      <c r="D32" s="161"/>
      <c r="E32" s="161"/>
      <c r="F32" s="47"/>
      <c r="G32" s="47"/>
      <c r="H32" s="47"/>
      <c r="I32" s="47"/>
      <c r="J32" s="47"/>
      <c r="K32" s="47"/>
      <c r="L32" s="47"/>
      <c r="M32" s="47"/>
      <c r="N32" s="47"/>
      <c r="O32" s="47"/>
      <c r="P32" s="47"/>
      <c r="Q32" s="47"/>
      <c r="R32" s="47"/>
      <c r="S32" s="47"/>
      <c r="T32" s="47"/>
      <c r="U32" s="60"/>
      <c r="V32" s="60" t="s">
        <v>446</v>
      </c>
      <c r="W32" s="82" t="s">
        <v>447</v>
      </c>
      <c r="X32" s="211" t="s">
        <v>448</v>
      </c>
      <c r="Y32" s="60"/>
      <c r="Z32" s="60"/>
      <c r="AA32" s="201"/>
      <c r="AB32" s="204"/>
      <c r="AC32" s="60"/>
      <c r="AD32" s="60"/>
      <c r="AE32" s="61"/>
      <c r="AF32" s="61"/>
      <c r="AG32" s="61"/>
      <c r="AH32" s="60"/>
      <c r="AI32" s="60"/>
      <c r="AJ32" s="60"/>
      <c r="AK32" s="60"/>
    </row>
    <row r="33" spans="1:37" ht="20.149999999999999" customHeight="1">
      <c r="A33" s="43" t="str">
        <f>Acc!A33</f>
        <v>Disable</v>
      </c>
      <c r="B33" s="114" t="str">
        <f>Acc!B33</f>
        <v>scm-bta-2-2</v>
      </c>
      <c r="C33" s="88"/>
      <c r="D33" s="164"/>
      <c r="E33" s="164"/>
      <c r="F33" s="84"/>
      <c r="G33" s="84"/>
      <c r="H33" s="84"/>
      <c r="I33" s="84"/>
      <c r="J33" s="84"/>
      <c r="K33" s="84"/>
      <c r="L33" s="84"/>
      <c r="M33" s="84"/>
      <c r="N33" s="47"/>
      <c r="O33" s="84"/>
      <c r="P33" s="84"/>
      <c r="Q33" s="84"/>
      <c r="R33" s="84"/>
      <c r="S33" s="84"/>
      <c r="T33" s="84"/>
      <c r="U33" s="85"/>
      <c r="V33" s="85" t="s">
        <v>446</v>
      </c>
      <c r="W33" s="86" t="s">
        <v>447</v>
      </c>
      <c r="X33" s="212"/>
      <c r="Y33" s="85"/>
      <c r="Z33" s="85"/>
      <c r="AA33" s="201"/>
      <c r="AB33" s="205"/>
      <c r="AC33" s="85"/>
      <c r="AD33" s="85"/>
      <c r="AE33" s="87"/>
      <c r="AF33" s="87"/>
      <c r="AG33" s="87"/>
      <c r="AH33" s="85"/>
      <c r="AI33" s="85"/>
      <c r="AJ33" s="85"/>
      <c r="AK33" s="85"/>
    </row>
    <row r="34" spans="1:37" ht="20.149999999999999" customHeight="1">
      <c r="A34" s="43" t="str">
        <f>Acc!A34</f>
        <v>Disable</v>
      </c>
      <c r="B34" s="114" t="str">
        <f>Acc!B34</f>
        <v>scm-bta-2-3</v>
      </c>
      <c r="C34" s="88"/>
      <c r="D34" s="164"/>
      <c r="E34" s="164"/>
      <c r="F34" s="84"/>
      <c r="G34" s="84"/>
      <c r="H34" s="84"/>
      <c r="I34" s="84"/>
      <c r="J34" s="84"/>
      <c r="K34" s="84"/>
      <c r="L34" s="84"/>
      <c r="M34" s="84"/>
      <c r="N34" s="47"/>
      <c r="O34" s="84"/>
      <c r="P34" s="84"/>
      <c r="Q34" s="84"/>
      <c r="R34" s="84"/>
      <c r="S34" s="84"/>
      <c r="T34" s="84"/>
      <c r="U34" s="88"/>
      <c r="V34" s="83"/>
      <c r="W34" s="88"/>
      <c r="X34" s="212"/>
      <c r="Y34" s="83"/>
      <c r="Z34" s="83"/>
      <c r="AA34" s="201"/>
      <c r="AB34" s="89"/>
      <c r="AC34" s="83"/>
      <c r="AD34" s="83"/>
      <c r="AE34" s="88"/>
      <c r="AF34" s="88"/>
      <c r="AG34" s="88"/>
      <c r="AH34" s="83"/>
      <c r="AI34" s="83"/>
      <c r="AJ34" s="83"/>
      <c r="AK34" s="83"/>
    </row>
    <row r="35" spans="1:37" s="23" customFormat="1" ht="20.149999999999999" customHeight="1">
      <c r="A35" s="43" t="str">
        <f>Acc!A35</f>
        <v>Enable</v>
      </c>
      <c r="B35" s="114" t="str">
        <f>Acc!B35</f>
        <v>scm-btb-1-1</v>
      </c>
      <c r="C35" s="61"/>
      <c r="D35" s="161"/>
      <c r="E35" s="161"/>
      <c r="F35" s="47"/>
      <c r="G35" s="47"/>
      <c r="H35" s="47"/>
      <c r="I35" s="47"/>
      <c r="J35" s="47"/>
      <c r="K35" s="47"/>
      <c r="L35" s="47"/>
      <c r="M35" s="47" t="s">
        <v>712</v>
      </c>
      <c r="N35" s="47"/>
      <c r="O35" s="47"/>
      <c r="P35" s="47"/>
      <c r="Q35" s="47"/>
      <c r="R35" s="47"/>
      <c r="S35" s="47"/>
      <c r="T35" s="61"/>
      <c r="U35" s="61"/>
      <c r="V35" s="60" t="s">
        <v>446</v>
      </c>
      <c r="W35" s="61" t="s">
        <v>447</v>
      </c>
      <c r="X35" s="212"/>
      <c r="Y35" s="60"/>
      <c r="Z35" s="60"/>
      <c r="AA35" s="201"/>
      <c r="AB35" s="206" t="s">
        <v>449</v>
      </c>
      <c r="AC35" s="60"/>
      <c r="AD35" s="60"/>
      <c r="AE35" s="61"/>
      <c r="AF35" s="61"/>
      <c r="AG35" s="61"/>
      <c r="AH35" s="60"/>
      <c r="AI35" s="60"/>
      <c r="AJ35" s="60"/>
      <c r="AK35" s="60"/>
    </row>
    <row r="36" spans="1:37" ht="20.149999999999999" customHeight="1">
      <c r="A36" s="43" t="str">
        <f>Acc!A36</f>
        <v>Disable</v>
      </c>
      <c r="B36" s="114" t="str">
        <f>Acc!B36</f>
        <v>scm-bl1-0-1</v>
      </c>
      <c r="C36" s="61"/>
      <c r="D36" s="161"/>
      <c r="E36" s="161"/>
      <c r="F36" s="47"/>
      <c r="G36" s="47"/>
      <c r="H36" s="47"/>
      <c r="I36" s="47"/>
      <c r="J36" s="47"/>
      <c r="K36" s="47"/>
      <c r="L36" s="47"/>
      <c r="M36" s="47" t="s">
        <v>710</v>
      </c>
      <c r="N36" s="47"/>
      <c r="O36" s="47"/>
      <c r="P36" s="47"/>
      <c r="Q36" s="47"/>
      <c r="R36" s="47"/>
      <c r="S36" s="47"/>
      <c r="T36" s="61"/>
      <c r="U36" s="61"/>
      <c r="V36" s="60" t="s">
        <v>446</v>
      </c>
      <c r="W36" s="90" t="s">
        <v>447</v>
      </c>
      <c r="X36" s="213"/>
      <c r="Y36" s="60"/>
      <c r="Z36" s="60"/>
      <c r="AA36" s="201"/>
      <c r="AB36" s="204"/>
      <c r="AC36" s="60"/>
      <c r="AD36" s="60"/>
      <c r="AE36" s="61"/>
      <c r="AF36" s="61"/>
      <c r="AG36" s="61"/>
      <c r="AH36" s="60"/>
      <c r="AI36" s="60"/>
      <c r="AJ36" s="60"/>
      <c r="AK36" s="60"/>
    </row>
    <row r="37" spans="1:37" ht="20.149999999999999" customHeight="1">
      <c r="A37" s="43" t="str">
        <f>Acc!A37</f>
        <v>Disable</v>
      </c>
      <c r="B37" s="114" t="str">
        <f>Acc!B37</f>
        <v>scm-bl1-preid-1</v>
      </c>
      <c r="C37" s="61"/>
      <c r="D37" s="161"/>
      <c r="E37" s="161"/>
      <c r="F37" s="47"/>
      <c r="G37" s="47"/>
      <c r="H37" s="47"/>
      <c r="I37" s="47"/>
      <c r="J37" s="47"/>
      <c r="K37" s="47"/>
      <c r="L37" s="47"/>
      <c r="M37" s="47" t="s">
        <v>710</v>
      </c>
      <c r="N37" s="47"/>
      <c r="O37" s="47"/>
      <c r="P37" s="47"/>
      <c r="Q37" s="47"/>
      <c r="R37" s="116" t="s">
        <v>450</v>
      </c>
      <c r="S37" s="47"/>
      <c r="T37" s="61"/>
      <c r="U37" s="91"/>
      <c r="V37" s="92"/>
      <c r="W37" s="1"/>
      <c r="X37" s="93"/>
      <c r="Y37" s="92"/>
      <c r="Z37" s="92"/>
      <c r="AA37" s="201"/>
      <c r="AB37" s="204"/>
      <c r="AC37" s="92"/>
      <c r="AD37" s="92"/>
      <c r="AE37" s="91"/>
      <c r="AF37" s="91"/>
      <c r="AG37" s="91"/>
      <c r="AH37" s="92"/>
      <c r="AI37" s="92"/>
      <c r="AJ37" s="92"/>
      <c r="AK37" s="92"/>
    </row>
    <row r="38" spans="1:37" ht="20.149999999999999" customHeight="1">
      <c r="A38" s="43" t="str">
        <f>Acc!A38</f>
        <v>Disable</v>
      </c>
      <c r="B38" s="114" t="str">
        <f>Acc!B38</f>
        <v>scm-bl1-preid-2</v>
      </c>
      <c r="C38" s="61"/>
      <c r="D38" s="161"/>
      <c r="E38" s="161"/>
      <c r="F38" s="47"/>
      <c r="G38" s="47"/>
      <c r="H38" s="47"/>
      <c r="I38" s="47"/>
      <c r="J38" s="47"/>
      <c r="K38" s="47"/>
      <c r="L38" s="47"/>
      <c r="M38" s="47"/>
      <c r="N38" s="47" t="s">
        <v>706</v>
      </c>
      <c r="O38" s="47"/>
      <c r="P38" s="47"/>
      <c r="Q38" s="47"/>
      <c r="R38" s="47"/>
      <c r="S38" s="47"/>
      <c r="T38" s="61"/>
      <c r="U38" s="91"/>
      <c r="V38" s="92"/>
      <c r="W38" s="1"/>
      <c r="X38" s="93"/>
      <c r="Y38" s="92"/>
      <c r="Z38" s="92"/>
      <c r="AA38" s="201"/>
      <c r="AB38" s="204"/>
      <c r="AC38" s="92"/>
      <c r="AD38" s="92"/>
      <c r="AE38" s="91"/>
      <c r="AF38" s="91"/>
      <c r="AG38" s="91"/>
      <c r="AH38" s="92"/>
      <c r="AI38" s="92"/>
      <c r="AJ38" s="92"/>
      <c r="AK38" s="92"/>
    </row>
    <row r="39" spans="1:37" ht="20.149999999999999" customHeight="1">
      <c r="A39" s="43" t="str">
        <f>Acc!A39</f>
        <v>Disable</v>
      </c>
      <c r="B39" s="114" t="str">
        <f>Acc!B39</f>
        <v>scm-bl1-3-1-1</v>
      </c>
      <c r="C39" s="61"/>
      <c r="D39" s="161"/>
      <c r="E39" s="161"/>
      <c r="F39" s="47"/>
      <c r="G39" s="47"/>
      <c r="H39" s="47"/>
      <c r="I39" s="47"/>
      <c r="J39" s="47"/>
      <c r="K39" s="47"/>
      <c r="L39" s="47"/>
      <c r="M39" s="47"/>
      <c r="N39" s="47"/>
      <c r="O39" s="47"/>
      <c r="P39" s="47"/>
      <c r="Q39" s="47"/>
      <c r="R39" s="47"/>
      <c r="S39" s="47"/>
      <c r="T39" s="61"/>
      <c r="U39" s="91"/>
      <c r="V39" s="92"/>
      <c r="W39" s="1"/>
      <c r="X39" s="93"/>
      <c r="Y39" s="92"/>
      <c r="Z39" s="92"/>
      <c r="AA39" s="201"/>
      <c r="AB39" s="204"/>
      <c r="AC39" s="92"/>
      <c r="AD39" s="92"/>
      <c r="AE39" s="91"/>
      <c r="AF39" s="91"/>
      <c r="AG39" s="91"/>
      <c r="AH39" s="92"/>
      <c r="AI39" s="92"/>
      <c r="AJ39" s="92"/>
      <c r="AK39" s="92"/>
    </row>
    <row r="40" spans="1:37" ht="20.149999999999999" customHeight="1">
      <c r="A40" s="43" t="str">
        <f>Acc!A40</f>
        <v>Disable</v>
      </c>
      <c r="B40" s="114" t="str">
        <f>Acc!B40</f>
        <v>scm-bl1-3-2-1</v>
      </c>
      <c r="C40" s="61"/>
      <c r="D40" s="161"/>
      <c r="E40" s="161"/>
      <c r="F40" s="47"/>
      <c r="G40" s="47"/>
      <c r="H40" s="47"/>
      <c r="I40" s="47"/>
      <c r="J40" s="47"/>
      <c r="K40" s="47"/>
      <c r="L40" s="47"/>
      <c r="M40" s="47"/>
      <c r="N40" s="47"/>
      <c r="O40" s="47"/>
      <c r="P40" s="47"/>
      <c r="Q40" s="47"/>
      <c r="R40" s="47"/>
      <c r="S40" s="47"/>
      <c r="T40" s="61"/>
      <c r="U40" s="91" t="s">
        <v>452</v>
      </c>
      <c r="V40" s="92"/>
      <c r="W40" s="1"/>
      <c r="X40" s="93"/>
      <c r="Y40" s="92"/>
      <c r="Z40" s="92"/>
      <c r="AA40" s="201"/>
      <c r="AB40" s="204"/>
      <c r="AC40" s="92"/>
      <c r="AD40" s="92"/>
      <c r="AE40" s="91"/>
      <c r="AF40" s="91"/>
      <c r="AG40" s="91"/>
      <c r="AH40" s="92"/>
      <c r="AI40" s="92"/>
      <c r="AJ40" s="92"/>
      <c r="AK40" s="92"/>
    </row>
    <row r="41" spans="1:37" ht="20.149999999999999" customHeight="1">
      <c r="A41" s="43" t="str">
        <f>Acc!A41</f>
        <v>Disable</v>
      </c>
      <c r="B41" s="114" t="str">
        <f>Acc!B41</f>
        <v>scm-bl1-3-2-2</v>
      </c>
      <c r="C41" s="74"/>
      <c r="D41" s="163"/>
      <c r="E41" s="163"/>
      <c r="F41" s="73"/>
      <c r="G41" s="73"/>
      <c r="H41" s="73"/>
      <c r="I41" s="73"/>
      <c r="J41" s="73"/>
      <c r="K41" s="73"/>
      <c r="L41" s="73"/>
      <c r="M41" s="73"/>
      <c r="N41" s="73"/>
      <c r="O41" s="73"/>
      <c r="P41" s="73"/>
      <c r="Q41" s="73"/>
      <c r="R41" s="73"/>
      <c r="S41" s="73"/>
      <c r="T41" s="74"/>
      <c r="U41" s="74"/>
      <c r="V41" s="72"/>
      <c r="W41" s="73"/>
      <c r="X41" s="72"/>
      <c r="Y41" s="72"/>
      <c r="Z41" s="72"/>
      <c r="AA41" s="201"/>
      <c r="AB41" s="204"/>
      <c r="AC41" s="72" t="s">
        <v>433</v>
      </c>
      <c r="AD41" s="72"/>
      <c r="AE41" s="74"/>
      <c r="AF41" s="74"/>
      <c r="AG41" s="74"/>
      <c r="AH41" s="72"/>
      <c r="AI41" s="72"/>
      <c r="AJ41" s="72"/>
      <c r="AK41" s="72"/>
    </row>
    <row r="42" spans="1:37" ht="20.149999999999999" customHeight="1">
      <c r="A42" s="43" t="str">
        <f>Acc!A42</f>
        <v>Disable</v>
      </c>
      <c r="B42" s="114" t="str">
        <f>Acc!B42</f>
        <v>scm-bl1-predump-2</v>
      </c>
      <c r="C42" s="61"/>
      <c r="D42" s="161"/>
      <c r="E42" s="161"/>
      <c r="F42" s="47"/>
      <c r="G42" s="47"/>
      <c r="H42" s="47"/>
      <c r="I42" s="47"/>
      <c r="J42" s="47"/>
      <c r="K42" s="47"/>
      <c r="L42" s="47"/>
      <c r="M42" s="47"/>
      <c r="N42" s="47"/>
      <c r="O42" s="47"/>
      <c r="P42" s="47"/>
      <c r="Q42" s="47"/>
      <c r="R42" s="47"/>
      <c r="S42" s="47"/>
      <c r="T42" s="61"/>
      <c r="U42" s="61" t="s">
        <v>453</v>
      </c>
      <c r="V42" s="60" t="s">
        <v>446</v>
      </c>
      <c r="W42" s="61"/>
      <c r="X42" s="60"/>
      <c r="Y42" s="60"/>
      <c r="Z42" s="60"/>
      <c r="AA42" s="201"/>
      <c r="AB42" s="204"/>
      <c r="AC42" s="60"/>
      <c r="AD42" s="60"/>
      <c r="AE42" s="61"/>
      <c r="AF42" s="61"/>
      <c r="AG42" s="61"/>
      <c r="AH42" s="60"/>
      <c r="AI42" s="60"/>
      <c r="AJ42" s="60"/>
      <c r="AK42" s="60"/>
    </row>
    <row r="43" spans="1:37" ht="20.149999999999999" customHeight="1">
      <c r="A43" s="43" t="str">
        <f>Acc!A43</f>
        <v>Disable</v>
      </c>
      <c r="B43" s="114" t="str">
        <f>Acc!B43</f>
        <v>scm-bl1-predump-1</v>
      </c>
      <c r="C43" s="61"/>
      <c r="D43" s="161"/>
      <c r="E43" s="161"/>
      <c r="F43" s="47"/>
      <c r="G43" s="47"/>
      <c r="H43" s="47"/>
      <c r="I43" s="47"/>
      <c r="J43" s="47"/>
      <c r="K43" s="47"/>
      <c r="L43" s="47"/>
      <c r="M43" s="47"/>
      <c r="N43" s="47"/>
      <c r="O43" s="47"/>
      <c r="P43" s="47"/>
      <c r="Q43" s="47"/>
      <c r="R43" s="47"/>
      <c r="S43" s="47"/>
      <c r="T43" s="61"/>
      <c r="U43" s="61" t="s">
        <v>453</v>
      </c>
      <c r="V43" s="60"/>
      <c r="W43" s="47" t="s">
        <v>447</v>
      </c>
      <c r="X43" s="60"/>
      <c r="Y43" s="60"/>
      <c r="Z43" s="60"/>
      <c r="AA43" s="201"/>
      <c r="AB43" s="204"/>
      <c r="AC43" s="60"/>
      <c r="AD43" s="60"/>
      <c r="AE43" s="61"/>
      <c r="AF43" s="61"/>
      <c r="AG43" s="61"/>
      <c r="AH43" s="60"/>
      <c r="AI43" s="60"/>
      <c r="AJ43" s="60"/>
      <c r="AK43" s="60"/>
    </row>
    <row r="44" spans="1:37" ht="20.149999999999999" customHeight="1">
      <c r="A44" s="43" t="str">
        <f>Acc!A44</f>
        <v>Disable</v>
      </c>
      <c r="B44" s="114" t="str">
        <f>Acc!B44</f>
        <v>scm-bl1-dump-1</v>
      </c>
      <c r="C44" s="66"/>
      <c r="D44" s="162"/>
      <c r="E44" s="162"/>
      <c r="F44" s="2"/>
      <c r="G44" s="2"/>
      <c r="H44" s="2"/>
      <c r="I44" s="2"/>
      <c r="J44" s="2"/>
      <c r="K44" s="2"/>
      <c r="L44" s="2"/>
      <c r="M44" s="2"/>
      <c r="N44" s="47"/>
      <c r="O44" s="2"/>
      <c r="P44" s="2"/>
      <c r="Q44" s="2"/>
      <c r="R44" s="47"/>
      <c r="S44" s="2"/>
      <c r="T44" s="66"/>
      <c r="U44" s="61" t="s">
        <v>453</v>
      </c>
      <c r="V44" s="80" t="s">
        <v>446</v>
      </c>
      <c r="W44" s="81" t="s">
        <v>447</v>
      </c>
      <c r="X44" s="80"/>
      <c r="Y44" s="80"/>
      <c r="Z44" s="80"/>
      <c r="AA44" s="201"/>
      <c r="AB44" s="204"/>
      <c r="AC44" s="80"/>
      <c r="AD44" s="80"/>
      <c r="AE44" s="94"/>
      <c r="AF44" s="94"/>
      <c r="AG44" s="94"/>
      <c r="AH44" s="80"/>
      <c r="AI44" s="80"/>
      <c r="AJ44" s="80"/>
      <c r="AK44" s="80"/>
    </row>
    <row r="45" spans="1:37" ht="20.149999999999999" customHeight="1">
      <c r="A45" s="43" t="str">
        <f>Acc!A45</f>
        <v>Disable</v>
      </c>
      <c r="B45" s="114" t="str">
        <f>Acc!B45</f>
        <v>scm-bl1-dump-2</v>
      </c>
      <c r="C45" s="61"/>
      <c r="D45" s="161"/>
      <c r="E45" s="161"/>
      <c r="F45" s="47"/>
      <c r="G45" s="47"/>
      <c r="H45" s="47"/>
      <c r="I45" s="47"/>
      <c r="J45" s="47" t="s">
        <v>762</v>
      </c>
      <c r="K45" s="47"/>
      <c r="L45" s="47"/>
      <c r="M45" s="47"/>
      <c r="N45" s="47"/>
      <c r="O45" s="47"/>
      <c r="P45" s="47"/>
      <c r="Q45" s="47"/>
      <c r="R45" s="47"/>
      <c r="S45" s="47"/>
      <c r="T45" s="47"/>
      <c r="U45" s="64"/>
      <c r="V45" s="92"/>
      <c r="W45" s="1"/>
      <c r="X45" s="64"/>
      <c r="Y45" s="64"/>
      <c r="Z45" s="64"/>
      <c r="AA45" s="201"/>
      <c r="AB45" s="89"/>
      <c r="AC45" s="64"/>
      <c r="AD45" s="64"/>
      <c r="AE45" s="66"/>
      <c r="AF45" s="66"/>
      <c r="AG45" s="66"/>
      <c r="AH45" s="64"/>
      <c r="AI45" s="64"/>
      <c r="AJ45" s="64"/>
      <c r="AK45" s="64"/>
    </row>
    <row r="46" spans="1:37" ht="20.149999999999999" customHeight="1">
      <c r="A46" s="43" t="str">
        <f>Acc!A46</f>
        <v>Disable</v>
      </c>
      <c r="B46" s="114" t="str">
        <f>Acc!B46</f>
        <v>scm-bl2-0-1</v>
      </c>
      <c r="C46" s="61"/>
      <c r="D46" s="161"/>
      <c r="E46" s="161"/>
      <c r="F46" s="47"/>
      <c r="G46" s="47"/>
      <c r="H46" s="47"/>
      <c r="I46" s="47"/>
      <c r="J46" s="77"/>
      <c r="K46" s="47"/>
      <c r="L46" s="47"/>
      <c r="M46" s="47"/>
      <c r="N46" s="47"/>
      <c r="O46" s="47"/>
      <c r="P46" s="47"/>
      <c r="Q46" s="47"/>
      <c r="R46" s="47"/>
      <c r="S46" s="47"/>
      <c r="T46" s="47"/>
      <c r="U46" s="64"/>
      <c r="V46" s="92"/>
      <c r="W46" s="1"/>
      <c r="X46" s="64"/>
      <c r="Y46" s="64"/>
      <c r="Z46" s="64"/>
      <c r="AA46" s="201"/>
      <c r="AB46" s="89"/>
      <c r="AC46" s="64"/>
      <c r="AD46" s="64"/>
      <c r="AE46" s="66"/>
      <c r="AF46" s="66"/>
      <c r="AG46" s="66"/>
      <c r="AH46" s="64"/>
      <c r="AI46" s="64"/>
      <c r="AJ46" s="64"/>
      <c r="AK46" s="64"/>
    </row>
    <row r="47" spans="1:37" ht="20.149999999999999" customHeight="1">
      <c r="A47" s="43" t="str">
        <f>Acc!A47</f>
        <v>Enable</v>
      </c>
      <c r="B47" s="114" t="str">
        <f>Acc!B47</f>
        <v>scm-bl2-0-2</v>
      </c>
      <c r="C47" s="61"/>
      <c r="D47" s="161"/>
      <c r="E47" s="161"/>
      <c r="F47" s="47"/>
      <c r="G47" s="47"/>
      <c r="H47" s="47"/>
      <c r="I47" s="47"/>
      <c r="J47" s="47"/>
      <c r="K47" s="47"/>
      <c r="L47" s="47"/>
      <c r="M47" s="47"/>
      <c r="N47" s="47"/>
      <c r="O47" s="47"/>
      <c r="P47" s="47"/>
      <c r="Q47" s="47"/>
      <c r="R47" s="47"/>
      <c r="S47" s="47"/>
      <c r="T47" s="47"/>
      <c r="U47" s="64"/>
      <c r="V47" s="92"/>
      <c r="W47" s="1"/>
      <c r="X47" s="64"/>
      <c r="Y47" s="64"/>
      <c r="Z47" s="64"/>
      <c r="AA47" s="201"/>
      <c r="AB47" s="89"/>
      <c r="AC47" s="64"/>
      <c r="AD47" s="64"/>
      <c r="AE47" s="66"/>
      <c r="AF47" s="66"/>
      <c r="AG47" s="66"/>
      <c r="AH47" s="64"/>
      <c r="AI47" s="64"/>
      <c r="AJ47" s="64"/>
      <c r="AK47" s="64"/>
    </row>
    <row r="48" spans="1:37" ht="20.149999999999999" customHeight="1">
      <c r="A48" s="43" t="str">
        <f>Acc!A48</f>
        <v>Enable</v>
      </c>
      <c r="B48" s="114" t="str">
        <f>Acc!B48</f>
        <v>scm-bl2-1</v>
      </c>
      <c r="C48" s="61"/>
      <c r="D48" s="181" t="s">
        <v>1319</v>
      </c>
      <c r="E48" s="161"/>
      <c r="F48" s="47"/>
      <c r="G48" s="47"/>
      <c r="H48" s="47"/>
      <c r="I48" s="47"/>
      <c r="J48" s="47"/>
      <c r="K48" s="47"/>
      <c r="L48" s="47"/>
      <c r="M48" s="47"/>
      <c r="N48" s="47"/>
      <c r="O48" s="47"/>
      <c r="P48" s="47"/>
      <c r="Q48" s="47"/>
      <c r="R48" s="47"/>
      <c r="S48" s="47"/>
      <c r="T48" s="47"/>
      <c r="U48" s="64"/>
      <c r="V48" s="92"/>
      <c r="W48" s="1"/>
      <c r="X48" s="64"/>
      <c r="Y48" s="64"/>
      <c r="Z48" s="64"/>
      <c r="AA48" s="201"/>
      <c r="AB48" s="89"/>
      <c r="AC48" s="64"/>
      <c r="AD48" s="64"/>
      <c r="AE48" s="66"/>
      <c r="AF48" s="66"/>
      <c r="AG48" s="66"/>
      <c r="AH48" s="64"/>
      <c r="AI48" s="64"/>
      <c r="AJ48" s="64"/>
      <c r="AK48" s="64"/>
    </row>
    <row r="49" spans="1:37" ht="20.149999999999999" customHeight="1">
      <c r="A49" s="43" t="str">
        <f>Acc!A49</f>
        <v>Enable</v>
      </c>
      <c r="B49" s="114" t="str">
        <f>Acc!B49</f>
        <v>scm-bl2-2</v>
      </c>
      <c r="C49" s="61"/>
      <c r="D49" s="161"/>
      <c r="E49" s="161"/>
      <c r="F49" s="47"/>
      <c r="G49" s="47"/>
      <c r="H49" s="47"/>
      <c r="I49" s="47"/>
      <c r="J49" s="47"/>
      <c r="K49" s="47"/>
      <c r="L49" s="47"/>
      <c r="M49" s="47"/>
      <c r="N49" s="47"/>
      <c r="O49" s="47"/>
      <c r="P49" s="47"/>
      <c r="Q49" s="47"/>
      <c r="R49" s="47"/>
      <c r="S49" s="47"/>
      <c r="T49" s="47"/>
      <c r="U49" s="64"/>
      <c r="V49" s="92"/>
      <c r="W49" s="1"/>
      <c r="X49" s="64"/>
      <c r="Y49" s="64"/>
      <c r="Z49" s="64"/>
      <c r="AA49" s="201"/>
      <c r="AB49" s="89"/>
      <c r="AC49" s="64"/>
      <c r="AD49" s="64"/>
      <c r="AE49" s="66"/>
      <c r="AF49" s="66"/>
      <c r="AG49" s="66"/>
      <c r="AH49" s="64"/>
      <c r="AI49" s="64"/>
      <c r="AJ49" s="64"/>
      <c r="AK49" s="64"/>
    </row>
    <row r="50" spans="1:37" ht="20.149999999999999" customHeight="1">
      <c r="A50" s="43" t="str">
        <f>Acc!A50</f>
        <v>Enable</v>
      </c>
      <c r="B50" s="114" t="str">
        <f>Acc!B50</f>
        <v>scm-bl2-3</v>
      </c>
      <c r="C50" s="61"/>
      <c r="D50" s="197"/>
      <c r="E50" s="161"/>
      <c r="F50" s="47"/>
      <c r="G50" s="47"/>
      <c r="H50" s="47"/>
      <c r="I50" s="47"/>
      <c r="J50" s="47"/>
      <c r="K50" s="47"/>
      <c r="L50" s="47"/>
      <c r="M50" s="47"/>
      <c r="N50" s="47"/>
      <c r="O50" s="47"/>
      <c r="P50" s="47"/>
      <c r="Q50" s="47"/>
      <c r="R50" s="47"/>
      <c r="S50" s="47"/>
      <c r="T50" s="47"/>
      <c r="U50" s="64"/>
      <c r="V50" s="92"/>
      <c r="W50" s="1"/>
      <c r="X50" s="64"/>
      <c r="Y50" s="64"/>
      <c r="Z50" s="64"/>
      <c r="AA50" s="201"/>
      <c r="AB50" s="89"/>
      <c r="AC50" s="64"/>
      <c r="AD50" s="64"/>
      <c r="AE50" s="66"/>
      <c r="AF50" s="66"/>
      <c r="AG50" s="66"/>
      <c r="AH50" s="64"/>
      <c r="AI50" s="64"/>
      <c r="AJ50" s="64"/>
      <c r="AK50" s="64"/>
    </row>
    <row r="51" spans="1:37" ht="20.149999999999999" customHeight="1">
      <c r="A51" s="43" t="str">
        <f>Acc!A51</f>
        <v>Enable</v>
      </c>
      <c r="B51" s="114" t="str">
        <f>Acc!B51</f>
        <v>scm-bl2-4</v>
      </c>
      <c r="C51" s="61"/>
      <c r="D51" s="161"/>
      <c r="E51" s="161"/>
      <c r="F51" s="47"/>
      <c r="G51" s="47"/>
      <c r="H51" s="47"/>
      <c r="I51" s="47"/>
      <c r="J51" s="47"/>
      <c r="K51" s="47"/>
      <c r="L51" s="47"/>
      <c r="M51" s="47"/>
      <c r="N51" s="47"/>
      <c r="O51" s="47"/>
      <c r="P51" s="47"/>
      <c r="Q51" s="47"/>
      <c r="R51" s="61" t="s">
        <v>454</v>
      </c>
      <c r="S51" s="47"/>
      <c r="T51" s="47"/>
      <c r="U51" s="64" t="s">
        <v>455</v>
      </c>
      <c r="V51" s="92"/>
      <c r="W51" s="1"/>
      <c r="X51" s="64"/>
      <c r="Y51" s="64"/>
      <c r="Z51" s="64"/>
      <c r="AA51" s="201"/>
      <c r="AB51" s="89"/>
      <c r="AC51" s="64"/>
      <c r="AD51" s="64"/>
      <c r="AE51" s="66"/>
      <c r="AF51" s="66"/>
      <c r="AG51" s="66"/>
      <c r="AH51" s="64"/>
      <c r="AI51" s="64"/>
      <c r="AJ51" s="64"/>
      <c r="AK51" s="64"/>
    </row>
    <row r="52" spans="1:37" ht="20.149999999999999" customHeight="1">
      <c r="A52" s="43" t="str">
        <f>Acc!A52</f>
        <v>Enable</v>
      </c>
      <c r="B52" s="114" t="str">
        <f>Acc!B52</f>
        <v>scm-bl2-predump-1</v>
      </c>
      <c r="C52" s="61"/>
      <c r="D52" s="161"/>
      <c r="E52" s="161"/>
      <c r="F52" s="47"/>
      <c r="G52" s="47"/>
      <c r="H52" s="47"/>
      <c r="I52" s="47"/>
      <c r="J52" s="47" t="s">
        <v>759</v>
      </c>
      <c r="K52" s="47"/>
      <c r="L52" s="47"/>
      <c r="M52" s="47"/>
      <c r="N52" s="47"/>
      <c r="O52" s="47"/>
      <c r="P52" s="47"/>
      <c r="Q52" s="47"/>
      <c r="R52" s="61"/>
      <c r="S52" s="47"/>
      <c r="T52" s="47"/>
      <c r="U52" s="64" t="s">
        <v>455</v>
      </c>
      <c r="V52" s="92"/>
      <c r="W52" s="1"/>
      <c r="X52" s="64"/>
      <c r="Y52" s="64"/>
      <c r="Z52" s="64"/>
      <c r="AA52" s="201"/>
      <c r="AB52" s="89"/>
      <c r="AC52" s="64"/>
      <c r="AD52" s="64"/>
      <c r="AE52" s="66"/>
      <c r="AF52" s="66"/>
      <c r="AG52" s="66"/>
      <c r="AH52" s="64"/>
      <c r="AI52" s="64"/>
      <c r="AJ52" s="64"/>
      <c r="AK52" s="64"/>
    </row>
    <row r="53" spans="1:37" ht="20.149999999999999" customHeight="1">
      <c r="A53" s="43" t="str">
        <f>Acc!A53</f>
        <v>Enable</v>
      </c>
      <c r="B53" s="114" t="str">
        <f>Acc!B53</f>
        <v>scm-bl2-dump-1</v>
      </c>
      <c r="C53" s="61"/>
      <c r="D53" s="161"/>
      <c r="E53" s="161"/>
      <c r="F53" s="47"/>
      <c r="G53" s="47"/>
      <c r="H53" s="47"/>
      <c r="I53" s="47" t="s">
        <v>760</v>
      </c>
      <c r="J53" s="47"/>
      <c r="K53" s="47"/>
      <c r="L53" s="47" t="s">
        <v>710</v>
      </c>
      <c r="M53" s="47" t="s">
        <v>710</v>
      </c>
      <c r="N53" s="47"/>
      <c r="O53" s="47"/>
      <c r="P53" s="47"/>
      <c r="Q53" s="47"/>
      <c r="R53" s="61"/>
      <c r="S53" s="47"/>
      <c r="T53" s="47"/>
      <c r="U53" s="64" t="s">
        <v>455</v>
      </c>
      <c r="V53" s="92"/>
      <c r="W53" s="1"/>
      <c r="X53" s="64"/>
      <c r="Y53" s="64"/>
      <c r="Z53" s="64"/>
      <c r="AA53" s="201"/>
      <c r="AB53" s="89"/>
      <c r="AC53" s="64"/>
      <c r="AD53" s="64"/>
      <c r="AE53" s="66"/>
      <c r="AF53" s="66"/>
      <c r="AG53" s="66"/>
      <c r="AH53" s="64"/>
      <c r="AI53" s="64"/>
      <c r="AJ53" s="64"/>
      <c r="AK53" s="64"/>
    </row>
    <row r="54" spans="1:37" ht="20.149999999999999" customHeight="1">
      <c r="A54" s="43" t="str">
        <f>Acc!A54</f>
        <v>Enable</v>
      </c>
      <c r="B54" s="114" t="str">
        <f>Acc!B54</f>
        <v>scm-bl2-dump-2</v>
      </c>
      <c r="C54" s="66"/>
      <c r="D54" s="162"/>
      <c r="E54" s="162"/>
      <c r="F54" s="2"/>
      <c r="G54" s="2"/>
      <c r="H54" s="2"/>
      <c r="I54" s="47" t="s">
        <v>782</v>
      </c>
      <c r="J54" s="47" t="s">
        <v>760</v>
      </c>
      <c r="K54" s="2"/>
      <c r="L54" s="2"/>
      <c r="M54" s="2"/>
      <c r="N54" s="115"/>
      <c r="O54" s="70"/>
      <c r="P54" s="70"/>
      <c r="Q54" s="70"/>
      <c r="R54" s="214" t="s">
        <v>456</v>
      </c>
      <c r="S54" s="95"/>
      <c r="T54" s="95"/>
      <c r="U54" s="69"/>
      <c r="V54" s="69"/>
      <c r="W54" s="70"/>
      <c r="X54" s="69"/>
      <c r="Y54" s="69" t="s">
        <v>457</v>
      </c>
      <c r="Z54" s="69"/>
      <c r="AA54" s="201"/>
      <c r="AB54" s="206" t="s">
        <v>458</v>
      </c>
      <c r="AC54" s="64"/>
      <c r="AD54" s="64"/>
      <c r="AE54" s="217" t="s">
        <v>459</v>
      </c>
      <c r="AF54" s="96"/>
      <c r="AG54" s="66"/>
      <c r="AH54" s="64"/>
      <c r="AI54" s="64"/>
      <c r="AJ54" s="64"/>
      <c r="AK54" s="64"/>
    </row>
    <row r="55" spans="1:37" ht="20.149999999999999" customHeight="1">
      <c r="A55" s="43" t="str">
        <f>Acc!A55</f>
        <v>Enable</v>
      </c>
      <c r="B55" s="114" t="str">
        <f>Acc!B55</f>
        <v>scm-bl3-0-1</v>
      </c>
      <c r="C55" s="61"/>
      <c r="D55" s="161"/>
      <c r="E55" s="161"/>
      <c r="F55" s="47"/>
      <c r="G55" s="47"/>
      <c r="H55" s="47" t="s">
        <v>812</v>
      </c>
      <c r="I55" s="47"/>
      <c r="J55" s="47"/>
      <c r="K55" s="47"/>
      <c r="L55" s="47" t="s">
        <v>656</v>
      </c>
      <c r="M55" s="47"/>
      <c r="N55" s="2"/>
      <c r="O55" s="47"/>
      <c r="P55" s="47"/>
      <c r="Q55" s="47"/>
      <c r="R55" s="215"/>
      <c r="S55" s="61"/>
      <c r="T55" s="61"/>
      <c r="U55" s="55"/>
      <c r="V55" s="60"/>
      <c r="W55" s="47"/>
      <c r="X55" s="60"/>
      <c r="Y55" s="60"/>
      <c r="Z55" s="60" t="s">
        <v>443</v>
      </c>
      <c r="AA55" s="201"/>
      <c r="AB55" s="204"/>
      <c r="AC55" s="60"/>
      <c r="AD55" s="60"/>
      <c r="AE55" s="218"/>
      <c r="AF55" s="97"/>
      <c r="AG55" s="61"/>
      <c r="AH55" s="60"/>
      <c r="AI55" s="60"/>
      <c r="AJ55" s="60"/>
      <c r="AK55" s="60"/>
    </row>
    <row r="56" spans="1:37" ht="20.149999999999999" customHeight="1">
      <c r="A56" s="43" t="str">
        <f>Acc!A56</f>
        <v>Enable</v>
      </c>
      <c r="B56" s="114" t="str">
        <f>Acc!B56</f>
        <v>scm-bl3-0-2</v>
      </c>
      <c r="C56" s="61"/>
      <c r="D56" s="161"/>
      <c r="E56" s="161" t="s">
        <v>890</v>
      </c>
      <c r="F56" s="47"/>
      <c r="G56" s="47"/>
      <c r="H56" s="47"/>
      <c r="I56" s="47"/>
      <c r="J56" s="47"/>
      <c r="K56" s="47"/>
      <c r="L56" s="47"/>
      <c r="M56" s="47"/>
      <c r="N56" s="2"/>
      <c r="O56" s="47"/>
      <c r="P56" s="47"/>
      <c r="Q56" s="47"/>
      <c r="R56" s="216"/>
      <c r="S56" s="61"/>
      <c r="T56" s="61"/>
      <c r="U56" s="55"/>
      <c r="V56" s="60"/>
      <c r="W56" s="47"/>
      <c r="X56" s="60"/>
      <c r="Y56" s="60"/>
      <c r="Z56" s="60"/>
      <c r="AA56" s="201"/>
      <c r="AB56" s="204"/>
      <c r="AC56" s="60"/>
      <c r="AD56" s="60"/>
      <c r="AE56" s="218"/>
      <c r="AF56" s="97"/>
      <c r="AG56" s="61"/>
      <c r="AH56" s="60"/>
      <c r="AI56" s="60"/>
      <c r="AJ56" s="60"/>
      <c r="AK56" s="60"/>
    </row>
    <row r="57" spans="1:37" ht="20.149999999999999" customHeight="1">
      <c r="A57" s="43" t="str">
        <f>Acc!A57</f>
        <v>Enable</v>
      </c>
      <c r="B57" s="114" t="str">
        <f>Acc!B57</f>
        <v>scm-bl3-0-3</v>
      </c>
      <c r="C57" s="66" t="s">
        <v>1329</v>
      </c>
      <c r="D57" s="182" t="s">
        <v>1321</v>
      </c>
      <c r="E57" s="161" t="s">
        <v>890</v>
      </c>
      <c r="F57" s="2"/>
      <c r="G57" s="2"/>
      <c r="H57" s="2"/>
      <c r="I57" s="2"/>
      <c r="J57" s="2"/>
      <c r="K57" s="2"/>
      <c r="L57" s="2"/>
      <c r="M57" s="2"/>
      <c r="N57" s="220" t="s">
        <v>460</v>
      </c>
      <c r="O57" s="66"/>
      <c r="P57" s="66"/>
      <c r="Q57" s="66"/>
      <c r="R57" s="66"/>
      <c r="S57" s="66"/>
      <c r="T57" s="66"/>
      <c r="U57" s="69" t="s">
        <v>461</v>
      </c>
      <c r="V57" s="64"/>
      <c r="W57" s="2"/>
      <c r="X57" s="64"/>
      <c r="Y57" s="64"/>
      <c r="Z57" s="217" t="s">
        <v>462</v>
      </c>
      <c r="AA57" s="201"/>
      <c r="AB57" s="204"/>
      <c r="AC57" s="64"/>
      <c r="AD57" s="64"/>
      <c r="AE57" s="66"/>
      <c r="AF57" s="66"/>
      <c r="AG57" s="66"/>
      <c r="AH57" s="64"/>
      <c r="AI57" s="64"/>
      <c r="AJ57" s="64"/>
      <c r="AK57" s="64"/>
    </row>
    <row r="58" spans="1:37" ht="20.149999999999999" customHeight="1">
      <c r="A58" s="43" t="str">
        <f>Acc!A58</f>
        <v>Enable</v>
      </c>
      <c r="B58" s="114" t="str">
        <f>Acc!B58</f>
        <v>scm-bl3-1</v>
      </c>
      <c r="C58" s="66"/>
      <c r="D58" s="162"/>
      <c r="E58" s="162"/>
      <c r="F58" s="2"/>
      <c r="G58" s="2"/>
      <c r="H58" s="2"/>
      <c r="I58" s="2"/>
      <c r="J58" s="77"/>
      <c r="K58" s="2"/>
      <c r="L58" s="2"/>
      <c r="M58" s="2"/>
      <c r="N58" s="221"/>
      <c r="O58" s="2"/>
      <c r="P58" s="2"/>
      <c r="Q58" s="98" t="s">
        <v>463</v>
      </c>
      <c r="R58" s="66"/>
      <c r="S58" s="66"/>
      <c r="T58" s="66"/>
      <c r="U58" s="69" t="s">
        <v>461</v>
      </c>
      <c r="V58" s="64"/>
      <c r="W58" s="2"/>
      <c r="X58" s="64"/>
      <c r="Y58" s="64"/>
      <c r="Z58" s="217"/>
      <c r="AA58" s="201"/>
      <c r="AB58" s="204"/>
      <c r="AC58" s="64"/>
      <c r="AD58" s="64"/>
      <c r="AE58" s="66"/>
      <c r="AF58" s="66"/>
      <c r="AG58" s="66"/>
      <c r="AH58" s="64"/>
      <c r="AI58" s="64"/>
      <c r="AJ58" s="64"/>
      <c r="AK58" s="64"/>
    </row>
    <row r="59" spans="1:37" ht="20.149999999999999" customHeight="1">
      <c r="A59" s="43" t="str">
        <f>Acc!A59</f>
        <v>Enable</v>
      </c>
      <c r="B59" s="114" t="str">
        <f>Acc!B59</f>
        <v>scm-bl3-2</v>
      </c>
      <c r="C59" s="74"/>
      <c r="D59" s="163"/>
      <c r="E59" s="163"/>
      <c r="F59" s="73"/>
      <c r="G59" s="73"/>
      <c r="H59" s="73"/>
      <c r="I59" s="73"/>
      <c r="J59" s="73"/>
      <c r="K59" s="73"/>
      <c r="L59" s="73"/>
      <c r="M59" s="73"/>
      <c r="N59" s="221"/>
      <c r="O59" s="74"/>
      <c r="P59" s="74"/>
      <c r="Q59" s="74"/>
      <c r="R59" s="74"/>
      <c r="S59" s="74"/>
      <c r="T59" s="74"/>
      <c r="U59" s="99"/>
      <c r="V59" s="72"/>
      <c r="W59" s="73"/>
      <c r="X59" s="72"/>
      <c r="Y59" s="72"/>
      <c r="Z59" s="217"/>
      <c r="AA59" s="201"/>
      <c r="AB59" s="204"/>
      <c r="AC59" s="72"/>
      <c r="AD59" s="72"/>
      <c r="AE59" s="74"/>
      <c r="AF59" s="74"/>
      <c r="AG59" s="100" t="s">
        <v>464</v>
      </c>
      <c r="AH59" s="72"/>
      <c r="AI59" s="72"/>
      <c r="AJ59" s="72"/>
      <c r="AK59" s="72"/>
    </row>
    <row r="60" spans="1:37" ht="20.149999999999999" customHeight="1">
      <c r="A60" s="43" t="str">
        <f>Acc!A60</f>
        <v>Disable</v>
      </c>
      <c r="B60" s="114" t="str">
        <f>Acc!B60</f>
        <v>scm-bl3-ssch</v>
      </c>
      <c r="C60" s="66"/>
      <c r="D60" s="162"/>
      <c r="E60" s="162"/>
      <c r="F60" s="2"/>
      <c r="G60" s="2"/>
      <c r="H60" s="2"/>
      <c r="I60" s="2"/>
      <c r="J60" s="77"/>
      <c r="K60" s="2"/>
      <c r="L60" s="2"/>
      <c r="M60" s="2"/>
      <c r="N60" s="221"/>
      <c r="O60" s="47" t="s">
        <v>465</v>
      </c>
      <c r="P60" s="95"/>
      <c r="Q60" s="95"/>
      <c r="R60" s="95"/>
      <c r="S60" s="95"/>
      <c r="T60" s="95"/>
      <c r="U60" s="69" t="s">
        <v>461</v>
      </c>
      <c r="V60" s="64"/>
      <c r="W60" s="2"/>
      <c r="X60" s="64"/>
      <c r="Y60" s="64"/>
      <c r="Z60" s="217"/>
      <c r="AA60" s="201"/>
      <c r="AB60" s="204"/>
      <c r="AC60" s="64"/>
      <c r="AD60" s="71" t="s">
        <v>466</v>
      </c>
      <c r="AE60" s="66"/>
      <c r="AF60" s="66"/>
      <c r="AG60" s="101" t="s">
        <v>467</v>
      </c>
      <c r="AH60" s="64"/>
      <c r="AI60" s="64"/>
      <c r="AJ60" s="64"/>
      <c r="AK60" s="64"/>
    </row>
    <row r="61" spans="1:37" ht="20.149999999999999" customHeight="1">
      <c r="A61" s="43" t="str">
        <f>Acc!A61</f>
        <v>Enable</v>
      </c>
      <c r="B61" s="114" t="str">
        <f>Acc!B61</f>
        <v>scm-bl3-3</v>
      </c>
      <c r="C61" s="66"/>
      <c r="D61" s="162"/>
      <c r="E61" s="162"/>
      <c r="F61" s="2"/>
      <c r="G61" s="2"/>
      <c r="H61" s="2"/>
      <c r="I61" s="2"/>
      <c r="J61" s="2"/>
      <c r="K61" s="2"/>
      <c r="L61" s="2" t="s">
        <v>658</v>
      </c>
      <c r="M61" s="2"/>
      <c r="N61" s="47" t="s">
        <v>416</v>
      </c>
      <c r="O61" s="66"/>
      <c r="P61" s="66"/>
      <c r="Q61" s="66"/>
      <c r="R61" s="66"/>
      <c r="S61" s="66"/>
      <c r="T61" s="66"/>
      <c r="U61" s="69" t="s">
        <v>461</v>
      </c>
      <c r="V61" s="64"/>
      <c r="W61" s="81"/>
      <c r="X61" s="80"/>
      <c r="Y61" s="80"/>
      <c r="Z61" s="222"/>
      <c r="AA61" s="201"/>
      <c r="AB61" s="205"/>
      <c r="AC61" s="64"/>
      <c r="AD61" s="64"/>
      <c r="AE61" s="66"/>
      <c r="AF61" s="66"/>
      <c r="AG61" s="101" t="s">
        <v>468</v>
      </c>
      <c r="AH61" s="64"/>
      <c r="AI61" s="64"/>
      <c r="AJ61" s="64"/>
      <c r="AK61" s="64"/>
    </row>
    <row r="62" spans="1:37" ht="20.149999999999999" customHeight="1">
      <c r="A62" s="43" t="str">
        <f>Acc!A62</f>
        <v>Enable</v>
      </c>
      <c r="B62" s="114" t="str">
        <f>Acc!B62</f>
        <v>scm-bl3-4</v>
      </c>
      <c r="C62" s="66"/>
      <c r="D62" s="162"/>
      <c r="E62" s="162"/>
      <c r="F62" s="2"/>
      <c r="G62" s="2"/>
      <c r="H62" s="2"/>
      <c r="I62" s="2"/>
      <c r="J62" s="47"/>
      <c r="K62" s="2"/>
      <c r="L62" s="2" t="s">
        <v>709</v>
      </c>
      <c r="M62" s="2"/>
      <c r="N62" s="47" t="s">
        <v>416</v>
      </c>
      <c r="O62" s="95"/>
      <c r="P62" s="95"/>
      <c r="Q62" s="95"/>
      <c r="R62" s="102" t="s">
        <v>469</v>
      </c>
      <c r="S62" s="95"/>
      <c r="T62" s="95"/>
      <c r="U62" s="69" t="s">
        <v>461</v>
      </c>
      <c r="V62" s="64"/>
      <c r="W62" s="2"/>
      <c r="X62" s="64"/>
      <c r="Y62" s="64"/>
      <c r="Z62" s="64"/>
      <c r="AA62" s="201"/>
      <c r="AB62" s="103" t="s">
        <v>470</v>
      </c>
      <c r="AC62" s="64"/>
      <c r="AD62" s="64"/>
      <c r="AE62" s="66"/>
      <c r="AF62" s="66"/>
      <c r="AG62" s="66"/>
      <c r="AH62" s="64"/>
      <c r="AI62" s="64"/>
      <c r="AJ62" s="64"/>
      <c r="AK62" s="64"/>
    </row>
    <row r="63" spans="1:37" ht="20.149999999999999" customHeight="1">
      <c r="A63" s="43" t="str">
        <f>Acc!A63</f>
        <v>Enable</v>
      </c>
      <c r="B63" s="114" t="str">
        <f>Acc!B63</f>
        <v>scm-bl3-6</v>
      </c>
      <c r="C63" s="61"/>
      <c r="D63" s="161"/>
      <c r="E63" s="161"/>
      <c r="F63" s="47"/>
      <c r="G63" s="47"/>
      <c r="H63" s="47"/>
      <c r="I63" s="47"/>
      <c r="J63" s="47" t="s">
        <v>759</v>
      </c>
      <c r="K63" s="47"/>
      <c r="L63" s="47" t="s">
        <v>710</v>
      </c>
      <c r="M63" s="47" t="s">
        <v>710</v>
      </c>
      <c r="N63" s="47" t="s">
        <v>710</v>
      </c>
      <c r="O63" s="61"/>
      <c r="P63" s="61"/>
      <c r="Q63" s="61"/>
      <c r="R63" s="61"/>
      <c r="S63" s="61"/>
      <c r="T63" s="61"/>
      <c r="U63" s="55"/>
      <c r="V63" s="55"/>
      <c r="W63" s="62"/>
      <c r="X63" s="55"/>
      <c r="Y63" s="55"/>
      <c r="Z63" s="55"/>
      <c r="AA63" s="201"/>
      <c r="AB63" s="206" t="s">
        <v>471</v>
      </c>
      <c r="AC63" s="60"/>
      <c r="AD63" s="60"/>
      <c r="AE63" s="61" t="s">
        <v>472</v>
      </c>
      <c r="AF63" s="61"/>
      <c r="AG63" s="61"/>
      <c r="AH63" s="60"/>
      <c r="AI63" s="60"/>
      <c r="AJ63" s="60"/>
      <c r="AK63" s="60"/>
    </row>
    <row r="64" spans="1:37" s="11" customFormat="1" ht="20.149999999999999" customHeight="1">
      <c r="A64" s="43" t="str">
        <f>Acc!A64</f>
        <v>Enable</v>
      </c>
      <c r="B64" s="114" t="str">
        <f>Acc!B64</f>
        <v>scm-bl3-dump-1</v>
      </c>
      <c r="C64" s="66"/>
      <c r="D64" s="162"/>
      <c r="E64" s="162"/>
      <c r="F64" s="2"/>
      <c r="G64" s="2"/>
      <c r="H64" s="2"/>
      <c r="I64" s="2"/>
      <c r="J64" s="47" t="s">
        <v>758</v>
      </c>
      <c r="K64" s="2"/>
      <c r="L64" s="47" t="s">
        <v>710</v>
      </c>
      <c r="M64" s="47" t="s">
        <v>710</v>
      </c>
      <c r="N64" s="47" t="s">
        <v>710</v>
      </c>
      <c r="O64" s="66"/>
      <c r="P64" s="66"/>
      <c r="Q64" s="66"/>
      <c r="R64" s="66"/>
      <c r="S64" s="66"/>
      <c r="T64" s="66"/>
      <c r="U64" s="69"/>
      <c r="V64" s="80"/>
      <c r="W64" s="81"/>
      <c r="X64" s="80"/>
      <c r="Y64" s="80"/>
      <c r="Z64" s="80"/>
      <c r="AA64" s="201"/>
      <c r="AB64" s="205"/>
      <c r="AC64" s="64"/>
      <c r="AD64" s="64"/>
      <c r="AE64" s="66" t="s">
        <v>473</v>
      </c>
      <c r="AF64" s="66"/>
      <c r="AG64" s="66"/>
      <c r="AH64" s="64"/>
      <c r="AI64" s="64"/>
      <c r="AJ64" s="64"/>
      <c r="AK64" s="64"/>
    </row>
    <row r="65" spans="1:37" ht="20.149999999999999" customHeight="1">
      <c r="A65" s="43" t="str">
        <f>Acc!A65</f>
        <v>Enable</v>
      </c>
      <c r="B65" s="114" t="str">
        <f>Acc!B65</f>
        <v>scm-bl3-dump-2</v>
      </c>
      <c r="C65" s="61"/>
      <c r="D65" s="161"/>
      <c r="E65" s="161"/>
      <c r="F65" s="47"/>
      <c r="G65" s="47"/>
      <c r="H65" s="47"/>
      <c r="I65" s="47"/>
      <c r="J65" s="47" t="s">
        <v>760</v>
      </c>
      <c r="K65" s="47"/>
      <c r="L65" s="47"/>
      <c r="M65" s="47"/>
      <c r="N65" s="47"/>
      <c r="O65" s="47"/>
      <c r="P65" s="47" t="s">
        <v>474</v>
      </c>
      <c r="Q65" s="47"/>
      <c r="R65" s="223" t="s">
        <v>475</v>
      </c>
      <c r="S65" s="47"/>
      <c r="T65" s="47"/>
      <c r="U65" s="55"/>
      <c r="V65" s="55"/>
      <c r="W65" s="225" t="s">
        <v>476</v>
      </c>
      <c r="X65" s="55"/>
      <c r="Y65" s="55"/>
      <c r="Z65" s="55"/>
      <c r="AA65" s="201"/>
      <c r="AB65" s="206" t="s">
        <v>477</v>
      </c>
      <c r="AC65" s="60"/>
      <c r="AD65" s="60"/>
      <c r="AE65" s="61"/>
      <c r="AF65" s="61"/>
      <c r="AG65" s="61"/>
      <c r="AH65" s="60"/>
      <c r="AI65" s="219" t="s">
        <v>478</v>
      </c>
      <c r="AJ65" s="60"/>
      <c r="AK65" s="60"/>
    </row>
    <row r="66" spans="1:37" ht="20.149999999999999" customHeight="1">
      <c r="A66" s="43" t="str">
        <f>Acc!A66</f>
        <v>Enable</v>
      </c>
      <c r="B66" s="114" t="str">
        <f>Acc!B66</f>
        <v>scm-xsbt-1</v>
      </c>
      <c r="C66" s="61"/>
      <c r="D66" s="161"/>
      <c r="E66" s="161"/>
      <c r="F66" s="47"/>
      <c r="G66" s="47"/>
      <c r="H66" s="47"/>
      <c r="I66" s="47"/>
      <c r="J66" s="47"/>
      <c r="K66" s="47"/>
      <c r="L66" s="47"/>
      <c r="M66" s="47"/>
      <c r="N66" s="47"/>
      <c r="O66" s="47"/>
      <c r="P66" s="47" t="s">
        <v>474</v>
      </c>
      <c r="Q66" s="47"/>
      <c r="R66" s="223"/>
      <c r="S66" s="47"/>
      <c r="T66" s="47"/>
      <c r="U66" s="55"/>
      <c r="V66" s="60"/>
      <c r="W66" s="226"/>
      <c r="X66" s="60"/>
      <c r="Y66" s="60"/>
      <c r="Z66" s="60"/>
      <c r="AA66" s="201"/>
      <c r="AB66" s="204"/>
      <c r="AC66" s="60"/>
      <c r="AD66" s="60"/>
      <c r="AE66" s="61"/>
      <c r="AF66" s="61"/>
      <c r="AG66" s="61"/>
      <c r="AH66" s="60"/>
      <c r="AI66" s="210"/>
      <c r="AJ66" s="60"/>
      <c r="AK66" s="60"/>
    </row>
    <row r="67" spans="1:37" ht="20.149999999999999" customHeight="1">
      <c r="A67" s="43" t="str">
        <f>Acc!A67</f>
        <v>Enable</v>
      </c>
      <c r="B67" s="114" t="str">
        <f>Acc!B67</f>
        <v>scm-xsbt-2</v>
      </c>
      <c r="C67" s="61"/>
      <c r="D67" s="161"/>
      <c r="E67" s="161"/>
      <c r="F67" s="47"/>
      <c r="G67" s="47"/>
      <c r="H67" s="47"/>
      <c r="I67" s="47"/>
      <c r="J67" s="47"/>
      <c r="K67" s="47"/>
      <c r="L67" s="47"/>
      <c r="M67" s="47"/>
      <c r="N67" s="47"/>
      <c r="O67" s="47"/>
      <c r="P67" s="47" t="s">
        <v>474</v>
      </c>
      <c r="Q67" s="47"/>
      <c r="R67" s="223"/>
      <c r="S67" s="47"/>
      <c r="T67" s="47"/>
      <c r="U67" s="55"/>
      <c r="V67" s="60"/>
      <c r="W67" s="226"/>
      <c r="X67" s="60"/>
      <c r="Y67" s="60"/>
      <c r="Z67" s="60"/>
      <c r="AA67" s="201"/>
      <c r="AB67" s="204"/>
      <c r="AC67" s="60"/>
      <c r="AD67" s="60"/>
      <c r="AE67" s="61"/>
      <c r="AF67" s="61"/>
      <c r="AG67" s="61"/>
      <c r="AH67" s="60"/>
      <c r="AI67" s="210"/>
      <c r="AJ67" s="60" t="s">
        <v>479</v>
      </c>
      <c r="AK67" s="60"/>
    </row>
    <row r="68" spans="1:37" ht="20.149999999999999" customHeight="1">
      <c r="A68" s="43" t="str">
        <f>Acc!A68</f>
        <v>Enable</v>
      </c>
      <c r="B68" s="114" t="str">
        <f>Acc!B68</f>
        <v>scm-xsbt-3</v>
      </c>
      <c r="C68" s="61"/>
      <c r="D68" s="161"/>
      <c r="E68" s="161"/>
      <c r="F68" s="47"/>
      <c r="G68" s="47"/>
      <c r="H68" s="47"/>
      <c r="I68" s="47"/>
      <c r="J68" s="47"/>
      <c r="K68" s="47"/>
      <c r="L68" s="47"/>
      <c r="M68" s="47"/>
      <c r="N68" s="47"/>
      <c r="O68" s="47"/>
      <c r="P68" s="47" t="s">
        <v>474</v>
      </c>
      <c r="Q68" s="47"/>
      <c r="R68" s="223"/>
      <c r="S68" s="47"/>
      <c r="T68" s="47"/>
      <c r="U68" s="55"/>
      <c r="V68" s="60"/>
      <c r="W68" s="226"/>
      <c r="X68" s="60"/>
      <c r="Y68" s="60"/>
      <c r="Z68" s="60"/>
      <c r="AA68" s="201"/>
      <c r="AB68" s="204"/>
      <c r="AC68" s="60"/>
      <c r="AD68" s="60"/>
      <c r="AE68" s="61"/>
      <c r="AF68" s="61"/>
      <c r="AG68" s="61"/>
      <c r="AH68" s="60"/>
      <c r="AI68" s="210"/>
      <c r="AJ68" s="60"/>
      <c r="AK68" s="60"/>
    </row>
    <row r="69" spans="1:37" ht="20.149999999999999" customHeight="1">
      <c r="A69" s="43" t="str">
        <f>Acc!A69</f>
        <v>Enable</v>
      </c>
      <c r="B69" s="114" t="str">
        <f>Acc!B69</f>
        <v>scm-xsbt-4</v>
      </c>
      <c r="C69" s="61"/>
      <c r="D69" s="161"/>
      <c r="E69" s="161"/>
      <c r="F69" s="47"/>
      <c r="G69" s="47"/>
      <c r="H69" s="47"/>
      <c r="I69" s="47"/>
      <c r="J69" s="47"/>
      <c r="K69" s="47"/>
      <c r="L69" s="47"/>
      <c r="M69" s="47"/>
      <c r="N69" s="47"/>
      <c r="O69" s="47"/>
      <c r="P69" s="47" t="s">
        <v>474</v>
      </c>
      <c r="Q69" s="47"/>
      <c r="R69" s="223"/>
      <c r="S69" s="47"/>
      <c r="T69" s="47"/>
      <c r="U69" s="55" t="s">
        <v>480</v>
      </c>
      <c r="V69" s="60"/>
      <c r="W69" s="226"/>
      <c r="X69" s="60"/>
      <c r="Y69" s="60"/>
      <c r="Z69" s="60"/>
      <c r="AA69" s="201"/>
      <c r="AB69" s="204"/>
      <c r="AC69" s="60"/>
      <c r="AD69" s="60"/>
      <c r="AE69" s="61"/>
      <c r="AF69" s="61"/>
      <c r="AG69" s="61"/>
      <c r="AH69" s="60"/>
      <c r="AI69" s="210"/>
      <c r="AJ69" s="60"/>
      <c r="AK69" s="60"/>
    </row>
    <row r="70" spans="1:37" ht="20.149999999999999" customHeight="1">
      <c r="A70" s="43" t="str">
        <f>Acc!A70</f>
        <v>Enable</v>
      </c>
      <c r="B70" s="114" t="str">
        <f>Acc!B70</f>
        <v>scm-xsbt-5</v>
      </c>
      <c r="C70" s="61"/>
      <c r="D70" s="181" t="s">
        <v>1322</v>
      </c>
      <c r="E70" s="161"/>
      <c r="F70" s="47"/>
      <c r="G70" s="47"/>
      <c r="H70" s="47"/>
      <c r="I70" s="47"/>
      <c r="J70" s="47"/>
      <c r="K70" s="47"/>
      <c r="L70" s="47"/>
      <c r="M70" s="47"/>
      <c r="N70" s="47"/>
      <c r="O70" s="47"/>
      <c r="P70" s="47" t="s">
        <v>474</v>
      </c>
      <c r="Q70" s="47"/>
      <c r="R70" s="223"/>
      <c r="S70" s="47"/>
      <c r="T70" s="47"/>
      <c r="U70" s="55"/>
      <c r="V70" s="60"/>
      <c r="W70" s="226"/>
      <c r="X70" s="60"/>
      <c r="Y70" s="60"/>
      <c r="Z70" s="60"/>
      <c r="AA70" s="201"/>
      <c r="AB70" s="204"/>
      <c r="AC70" s="60"/>
      <c r="AD70" s="60"/>
      <c r="AE70" s="61"/>
      <c r="AF70" s="61"/>
      <c r="AG70" s="61"/>
      <c r="AH70" s="60"/>
      <c r="AI70" s="210"/>
      <c r="AJ70" s="60"/>
      <c r="AK70" s="60"/>
    </row>
    <row r="71" spans="1:37" ht="20.149999999999999" customHeight="1">
      <c r="A71" s="43" t="str">
        <f>Acc!A71</f>
        <v>Enable</v>
      </c>
      <c r="B71" s="114" t="str">
        <f>Acc!B71</f>
        <v>scm-xsbt-6</v>
      </c>
      <c r="C71" s="61"/>
      <c r="D71" s="161"/>
      <c r="E71" s="161"/>
      <c r="F71" s="47"/>
      <c r="G71" s="47"/>
      <c r="H71" s="47"/>
      <c r="I71" s="47"/>
      <c r="J71" s="47"/>
      <c r="K71" s="47"/>
      <c r="L71" s="47"/>
      <c r="M71" s="47"/>
      <c r="N71" s="47"/>
      <c r="O71" s="47"/>
      <c r="P71" s="47" t="s">
        <v>474</v>
      </c>
      <c r="Q71" s="47"/>
      <c r="R71" s="223"/>
      <c r="S71" s="47"/>
      <c r="T71" s="47"/>
      <c r="U71" s="55"/>
      <c r="V71" s="60"/>
      <c r="W71" s="226"/>
      <c r="X71" s="60"/>
      <c r="Y71" s="60"/>
      <c r="Z71" s="60"/>
      <c r="AA71" s="201"/>
      <c r="AB71" s="204"/>
      <c r="AC71" s="60"/>
      <c r="AD71" s="60"/>
      <c r="AE71" s="61"/>
      <c r="AF71" s="61"/>
      <c r="AG71" s="61"/>
      <c r="AH71" s="60"/>
      <c r="AI71" s="210"/>
      <c r="AJ71" s="60"/>
      <c r="AK71" s="60"/>
    </row>
    <row r="72" spans="1:37" ht="20.149999999999999" customHeight="1">
      <c r="A72" s="43" t="str">
        <f>Acc!A72</f>
        <v>Enable</v>
      </c>
      <c r="B72" s="114" t="str">
        <f>Acc!B72</f>
        <v>scm-xsbt-7</v>
      </c>
      <c r="C72" s="61"/>
      <c r="D72" s="161"/>
      <c r="E72" s="161"/>
      <c r="F72" s="47"/>
      <c r="G72" s="47"/>
      <c r="H72" s="47"/>
      <c r="I72" s="47"/>
      <c r="J72" s="47"/>
      <c r="K72" s="47"/>
      <c r="L72" s="47"/>
      <c r="M72" s="47"/>
      <c r="N72" s="47"/>
      <c r="O72" s="47"/>
      <c r="P72" s="47" t="s">
        <v>474</v>
      </c>
      <c r="Q72" s="47"/>
      <c r="R72" s="223"/>
      <c r="S72" s="47"/>
      <c r="T72" s="47"/>
      <c r="U72" s="55"/>
      <c r="V72" s="60"/>
      <c r="W72" s="226"/>
      <c r="X72" s="60"/>
      <c r="Y72" s="60"/>
      <c r="Z72" s="60"/>
      <c r="AA72" s="201"/>
      <c r="AB72" s="204"/>
      <c r="AC72" s="60"/>
      <c r="AD72" s="60"/>
      <c r="AE72" s="61"/>
      <c r="AF72" s="61"/>
      <c r="AG72" s="61"/>
      <c r="AH72" s="60"/>
      <c r="AI72" s="210"/>
      <c r="AJ72" s="60"/>
      <c r="AK72" s="60"/>
    </row>
    <row r="73" spans="1:37" ht="20.149999999999999" customHeight="1">
      <c r="A73" s="43" t="str">
        <f>Acc!A73</f>
        <v>Enable</v>
      </c>
      <c r="B73" s="114" t="str">
        <f>Acc!B73</f>
        <v>scm-xsbt-8</v>
      </c>
      <c r="C73" s="61"/>
      <c r="D73" s="161"/>
      <c r="E73" s="161"/>
      <c r="F73" s="47"/>
      <c r="G73" s="47"/>
      <c r="H73" s="47"/>
      <c r="I73" s="47"/>
      <c r="J73" s="47"/>
      <c r="K73" s="47"/>
      <c r="L73" s="47"/>
      <c r="M73" s="47"/>
      <c r="N73" s="47"/>
      <c r="O73" s="47"/>
      <c r="P73" s="47" t="s">
        <v>474</v>
      </c>
      <c r="Q73" s="47"/>
      <c r="R73" s="223"/>
      <c r="S73" s="47"/>
      <c r="T73" s="47"/>
      <c r="U73" s="55" t="s">
        <v>480</v>
      </c>
      <c r="V73" s="60"/>
      <c r="W73" s="226"/>
      <c r="X73" s="60"/>
      <c r="Y73" s="60"/>
      <c r="Z73" s="60"/>
      <c r="AA73" s="201"/>
      <c r="AB73" s="204"/>
      <c r="AC73" s="60"/>
      <c r="AD73" s="60"/>
      <c r="AE73" s="61"/>
      <c r="AF73" s="61"/>
      <c r="AG73" s="61"/>
      <c r="AH73" s="60"/>
      <c r="AI73" s="210"/>
      <c r="AJ73" s="60"/>
      <c r="AK73" s="60"/>
    </row>
    <row r="74" spans="1:37" ht="20.149999999999999" customHeight="1">
      <c r="A74" s="43" t="str">
        <f>Acc!A74</f>
        <v>Enable</v>
      </c>
      <c r="B74" s="114" t="str">
        <f>Acc!B74</f>
        <v>scm-xsbt-9</v>
      </c>
      <c r="C74" s="61"/>
      <c r="D74" s="161"/>
      <c r="E74" s="161"/>
      <c r="F74" s="47"/>
      <c r="G74" s="47"/>
      <c r="H74" s="47"/>
      <c r="I74" s="47"/>
      <c r="J74" s="47"/>
      <c r="K74" s="47"/>
      <c r="L74" s="47"/>
      <c r="M74" s="47"/>
      <c r="N74" s="47"/>
      <c r="O74" s="47"/>
      <c r="P74" s="47" t="s">
        <v>474</v>
      </c>
      <c r="Q74" s="47"/>
      <c r="R74" s="223"/>
      <c r="S74" s="47"/>
      <c r="T74" s="47"/>
      <c r="U74" s="55"/>
      <c r="V74" s="60"/>
      <c r="W74" s="226"/>
      <c r="X74" s="60"/>
      <c r="Y74" s="60"/>
      <c r="Z74" s="60"/>
      <c r="AA74" s="201"/>
      <c r="AB74" s="204"/>
      <c r="AC74" s="60"/>
      <c r="AD74" s="60"/>
      <c r="AE74" s="61"/>
      <c r="AF74" s="61"/>
      <c r="AG74" s="61"/>
      <c r="AH74" s="60"/>
      <c r="AI74" s="210"/>
      <c r="AJ74" s="60"/>
      <c r="AK74" s="60"/>
    </row>
    <row r="75" spans="1:37" ht="20.149999999999999" customHeight="1">
      <c r="A75" s="43" t="str">
        <f>Acc!A75</f>
        <v>Enable</v>
      </c>
      <c r="B75" s="114" t="str">
        <f>Acc!B75</f>
        <v>scm-xsbt-10</v>
      </c>
      <c r="C75" s="61"/>
      <c r="D75" s="161"/>
      <c r="E75" s="161"/>
      <c r="F75" s="47"/>
      <c r="G75" s="47"/>
      <c r="H75" s="47"/>
      <c r="I75" s="47"/>
      <c r="J75" s="47"/>
      <c r="K75" s="47"/>
      <c r="L75" s="47"/>
      <c r="M75" s="47"/>
      <c r="N75" s="47"/>
      <c r="O75" s="47"/>
      <c r="P75" s="47" t="s">
        <v>474</v>
      </c>
      <c r="Q75" s="47"/>
      <c r="R75" s="223"/>
      <c r="S75" s="47"/>
      <c r="T75" s="47"/>
      <c r="U75" s="55"/>
      <c r="V75" s="60"/>
      <c r="W75" s="226"/>
      <c r="X75" s="60"/>
      <c r="Y75" s="60"/>
      <c r="Z75" s="60"/>
      <c r="AA75" s="201"/>
      <c r="AB75" s="204"/>
      <c r="AC75" s="60"/>
      <c r="AD75" s="60"/>
      <c r="AE75" s="61"/>
      <c r="AF75" s="61"/>
      <c r="AG75" s="61"/>
      <c r="AH75" s="60"/>
      <c r="AI75" s="210"/>
      <c r="AJ75" s="60"/>
      <c r="AK75" s="60"/>
    </row>
    <row r="76" spans="1:37" ht="20.149999999999999" customHeight="1">
      <c r="A76" s="43" t="str">
        <f>Acc!A76</f>
        <v>Enable</v>
      </c>
      <c r="B76" s="114" t="str">
        <f>Acc!B76</f>
        <v>scm-xsbt-11</v>
      </c>
      <c r="C76" s="61"/>
      <c r="D76" s="161"/>
      <c r="E76" s="161"/>
      <c r="F76" s="47"/>
      <c r="G76" s="47"/>
      <c r="H76" s="47"/>
      <c r="I76" s="47"/>
      <c r="J76" s="47"/>
      <c r="K76" s="47"/>
      <c r="L76" s="47"/>
      <c r="M76" s="47"/>
      <c r="N76" s="47"/>
      <c r="O76" s="47"/>
      <c r="P76" s="47" t="s">
        <v>474</v>
      </c>
      <c r="Q76" s="47"/>
      <c r="R76" s="223"/>
      <c r="S76" s="47"/>
      <c r="T76" s="47"/>
      <c r="U76" s="55"/>
      <c r="V76" s="60"/>
      <c r="W76" s="226"/>
      <c r="X76" s="60"/>
      <c r="Y76" s="60"/>
      <c r="Z76" s="60"/>
      <c r="AA76" s="201"/>
      <c r="AB76" s="204"/>
      <c r="AC76" s="60"/>
      <c r="AD76" s="60"/>
      <c r="AE76" s="61"/>
      <c r="AF76" s="61"/>
      <c r="AG76" s="61"/>
      <c r="AH76" s="60"/>
      <c r="AI76" s="210"/>
      <c r="AJ76" s="60"/>
      <c r="AK76" s="60"/>
    </row>
    <row r="77" spans="1:37" ht="20.149999999999999" customHeight="1">
      <c r="A77" s="43" t="str">
        <f>Acc!A77</f>
        <v>Enable</v>
      </c>
      <c r="B77" s="114" t="str">
        <f>Acc!B77</f>
        <v>scm-xsbt-12</v>
      </c>
      <c r="C77" s="61"/>
      <c r="D77" s="161"/>
      <c r="E77" s="161"/>
      <c r="F77" s="47"/>
      <c r="G77" s="47"/>
      <c r="H77" s="47"/>
      <c r="I77" s="47"/>
      <c r="J77" s="47"/>
      <c r="K77" s="47"/>
      <c r="L77" s="47"/>
      <c r="M77" s="47"/>
      <c r="N77" s="47"/>
      <c r="O77" s="47"/>
      <c r="P77" s="47" t="s">
        <v>474</v>
      </c>
      <c r="Q77" s="47"/>
      <c r="R77" s="223"/>
      <c r="S77" s="47"/>
      <c r="T77" s="47"/>
      <c r="U77" s="55"/>
      <c r="V77" s="60"/>
      <c r="W77" s="226"/>
      <c r="X77" s="60"/>
      <c r="Y77" s="60"/>
      <c r="Z77" s="60"/>
      <c r="AA77" s="201"/>
      <c r="AB77" s="204"/>
      <c r="AC77" s="60"/>
      <c r="AD77" s="60"/>
      <c r="AE77" s="61"/>
      <c r="AF77" s="61"/>
      <c r="AG77" s="61"/>
      <c r="AH77" s="60"/>
      <c r="AI77" s="210"/>
      <c r="AJ77" s="76" t="s">
        <v>481</v>
      </c>
      <c r="AK77" s="60"/>
    </row>
    <row r="78" spans="1:37" ht="20.149999999999999" customHeight="1">
      <c r="A78" s="43" t="str">
        <f>Acc!A78</f>
        <v>Enable</v>
      </c>
      <c r="B78" s="114" t="str">
        <f>Acc!B78</f>
        <v>scm-xsbt-13</v>
      </c>
      <c r="C78" s="61"/>
      <c r="D78" s="161"/>
      <c r="E78" s="161"/>
      <c r="F78" s="47"/>
      <c r="G78" s="47"/>
      <c r="H78" s="47"/>
      <c r="I78" s="47"/>
      <c r="J78" s="47"/>
      <c r="K78" s="47"/>
      <c r="L78" s="47"/>
      <c r="M78" s="47"/>
      <c r="N78" s="47"/>
      <c r="O78" s="47"/>
      <c r="P78" s="47" t="s">
        <v>474</v>
      </c>
      <c r="Q78" s="47"/>
      <c r="R78" s="223"/>
      <c r="S78" s="47"/>
      <c r="T78" s="47"/>
      <c r="U78" s="55"/>
      <c r="V78" s="60"/>
      <c r="W78" s="226"/>
      <c r="X78" s="60"/>
      <c r="Y78" s="60"/>
      <c r="Z78" s="60"/>
      <c r="AA78" s="201"/>
      <c r="AB78" s="204"/>
      <c r="AC78" s="60"/>
      <c r="AD78" s="60"/>
      <c r="AE78" s="61"/>
      <c r="AF78" s="61"/>
      <c r="AG78" s="61"/>
      <c r="AH78" s="60"/>
      <c r="AI78" s="210"/>
      <c r="AJ78" s="60"/>
      <c r="AK78" s="60"/>
    </row>
    <row r="79" spans="1:37" ht="20.149999999999999" customHeight="1">
      <c r="A79" s="43" t="str">
        <f>Acc!A79</f>
        <v>Enable</v>
      </c>
      <c r="B79" s="114" t="str">
        <f>Acc!B79</f>
        <v>scm-xsbt-14</v>
      </c>
      <c r="C79" s="61"/>
      <c r="D79" s="161"/>
      <c r="E79" s="161"/>
      <c r="F79" s="47"/>
      <c r="G79" s="47"/>
      <c r="H79" s="47"/>
      <c r="I79" s="47"/>
      <c r="J79" s="47"/>
      <c r="K79" s="47"/>
      <c r="L79" s="47"/>
      <c r="M79" s="47"/>
      <c r="N79" s="47"/>
      <c r="O79" s="47"/>
      <c r="P79" s="47" t="s">
        <v>482</v>
      </c>
      <c r="Q79" s="47"/>
      <c r="R79" s="223"/>
      <c r="S79" s="47"/>
      <c r="T79" s="47"/>
      <c r="U79" s="55"/>
      <c r="V79" s="60"/>
      <c r="W79" s="226"/>
      <c r="X79" s="60"/>
      <c r="Y79" s="60"/>
      <c r="Z79" s="60"/>
      <c r="AA79" s="201"/>
      <c r="AB79" s="204"/>
      <c r="AC79" s="60"/>
      <c r="AD79" s="60"/>
      <c r="AE79" s="61"/>
      <c r="AF79" s="61"/>
      <c r="AG79" s="61"/>
      <c r="AH79" s="60"/>
      <c r="AI79" s="210"/>
      <c r="AJ79" s="60"/>
      <c r="AK79" s="60"/>
    </row>
    <row r="80" spans="1:37" ht="20.149999999999999" customHeight="1">
      <c r="A80" s="43" t="str">
        <f>Acc!A80</f>
        <v>Enable</v>
      </c>
      <c r="B80" s="114" t="str">
        <f>Acc!B80</f>
        <v>scm-xsbt-15</v>
      </c>
      <c r="C80" s="61"/>
      <c r="D80" s="161"/>
      <c r="E80" s="161"/>
      <c r="F80" s="47"/>
      <c r="G80" s="47"/>
      <c r="H80" s="47"/>
      <c r="I80" s="47"/>
      <c r="J80" s="47"/>
      <c r="K80" s="47"/>
      <c r="L80" s="47"/>
      <c r="M80" s="47"/>
      <c r="N80" s="47"/>
      <c r="O80" s="47"/>
      <c r="P80" s="47" t="s">
        <v>474</v>
      </c>
      <c r="Q80" s="47"/>
      <c r="R80" s="223"/>
      <c r="S80" s="47"/>
      <c r="T80" s="47"/>
      <c r="U80" s="55"/>
      <c r="V80" s="60"/>
      <c r="W80" s="226"/>
      <c r="X80" s="60"/>
      <c r="Y80" s="60"/>
      <c r="Z80" s="60"/>
      <c r="AA80" s="201"/>
      <c r="AB80" s="204"/>
      <c r="AC80" s="60"/>
      <c r="AD80" s="60"/>
      <c r="AE80" s="61"/>
      <c r="AF80" s="61"/>
      <c r="AG80" s="61"/>
      <c r="AH80" s="60"/>
      <c r="AI80" s="210"/>
      <c r="AJ80" s="60"/>
      <c r="AK80" s="60"/>
    </row>
    <row r="81" spans="1:37" ht="20.149999999999999" customHeight="1">
      <c r="A81" s="43" t="str">
        <f>Acc!A81</f>
        <v>Enable</v>
      </c>
      <c r="B81" s="114" t="str">
        <f>Acc!B81</f>
        <v>scm-xsbt-16</v>
      </c>
      <c r="C81" s="61"/>
      <c r="D81" s="161"/>
      <c r="E81" s="161"/>
      <c r="F81" s="47"/>
      <c r="G81" s="47"/>
      <c r="H81" s="47"/>
      <c r="I81" s="47"/>
      <c r="J81" s="47"/>
      <c r="K81" s="47" t="s">
        <v>707</v>
      </c>
      <c r="L81" s="47"/>
      <c r="M81" s="47"/>
      <c r="N81" s="47"/>
      <c r="O81" s="47"/>
      <c r="P81" s="47" t="s">
        <v>483</v>
      </c>
      <c r="Q81" s="47"/>
      <c r="R81" s="223"/>
      <c r="S81" s="47"/>
      <c r="T81" s="47"/>
      <c r="U81" s="55" t="s">
        <v>480</v>
      </c>
      <c r="V81" s="60"/>
      <c r="W81" s="226"/>
      <c r="X81" s="60"/>
      <c r="Y81" s="60"/>
      <c r="Z81" s="60"/>
      <c r="AA81" s="201"/>
      <c r="AB81" s="204"/>
      <c r="AC81" s="60"/>
      <c r="AD81" s="60"/>
      <c r="AE81" s="61"/>
      <c r="AF81" s="61"/>
      <c r="AG81" s="61"/>
      <c r="AH81" s="60"/>
      <c r="AI81" s="210"/>
      <c r="AJ81" s="60"/>
      <c r="AK81" s="60"/>
    </row>
    <row r="82" spans="1:37" ht="20.149999999999999" customHeight="1">
      <c r="A82" s="43" t="str">
        <f>Acc!A82</f>
        <v>Enable</v>
      </c>
      <c r="B82" s="114" t="str">
        <f>Acc!B82</f>
        <v>scm-xsbt-17</v>
      </c>
      <c r="C82" s="61"/>
      <c r="D82" s="161"/>
      <c r="E82" s="161"/>
      <c r="F82" s="47"/>
      <c r="G82" s="47"/>
      <c r="H82" s="47"/>
      <c r="I82" s="47"/>
      <c r="J82" s="47"/>
      <c r="K82" s="47"/>
      <c r="L82" s="47"/>
      <c r="M82" s="47"/>
      <c r="N82" s="47"/>
      <c r="O82" s="47"/>
      <c r="P82" s="47" t="s">
        <v>484</v>
      </c>
      <c r="Q82" s="47"/>
      <c r="R82" s="223"/>
      <c r="S82" s="47"/>
      <c r="T82" s="47"/>
      <c r="U82" s="55" t="s">
        <v>480</v>
      </c>
      <c r="V82" s="60"/>
      <c r="W82" s="68"/>
      <c r="X82" s="67"/>
      <c r="Y82" s="67"/>
      <c r="Z82" s="67"/>
      <c r="AA82" s="201"/>
      <c r="AB82" s="205"/>
      <c r="AC82" s="60"/>
      <c r="AD82" s="60"/>
      <c r="AE82" s="61"/>
      <c r="AF82" s="61"/>
      <c r="AG82" s="61"/>
      <c r="AH82" s="60"/>
      <c r="AI82" s="210"/>
      <c r="AJ82" s="60"/>
      <c r="AK82" s="60"/>
    </row>
    <row r="83" spans="1:37" ht="20.149999999999999" customHeight="1">
      <c r="A83" s="43" t="str">
        <f>Acc!A83</f>
        <v>Enable</v>
      </c>
      <c r="B83" s="114" t="str">
        <f>Acc!B83</f>
        <v>scm-xsbt-18</v>
      </c>
      <c r="C83" s="66"/>
      <c r="D83" s="162"/>
      <c r="E83" s="162"/>
      <c r="F83" s="2"/>
      <c r="G83" s="2"/>
      <c r="H83" s="2"/>
      <c r="I83" s="2"/>
      <c r="J83" s="2"/>
      <c r="K83" s="2"/>
      <c r="L83" s="2"/>
      <c r="M83" s="2"/>
      <c r="N83" s="2"/>
      <c r="O83" s="2"/>
      <c r="P83" s="47" t="s">
        <v>474</v>
      </c>
      <c r="Q83" s="81"/>
      <c r="R83" s="224"/>
      <c r="S83" s="105"/>
      <c r="T83" s="105"/>
      <c r="U83" s="104" t="s">
        <v>480</v>
      </c>
      <c r="V83" s="80"/>
      <c r="W83" s="65"/>
      <c r="X83" s="104"/>
      <c r="Y83" s="104"/>
      <c r="Z83" s="106" t="s">
        <v>485</v>
      </c>
      <c r="AA83" s="202"/>
      <c r="AB83" s="107" t="s">
        <v>486</v>
      </c>
      <c r="AC83" s="80"/>
      <c r="AD83" s="80" t="s">
        <v>487</v>
      </c>
      <c r="AE83" s="94"/>
      <c r="AF83" s="94"/>
      <c r="AG83" s="94"/>
      <c r="AH83" s="80"/>
      <c r="AI83" s="210"/>
      <c r="AJ83" s="80"/>
      <c r="AK83" s="80"/>
    </row>
    <row r="84" spans="1:37" ht="20.149999999999999" customHeight="1">
      <c r="A84" s="43" t="str">
        <f>Acc!A84</f>
        <v>Enable</v>
      </c>
      <c r="B84" s="114" t="str">
        <f>Acc!B84</f>
        <v>scm-xsbt-19</v>
      </c>
    </row>
    <row r="85" spans="1:37" ht="20.149999999999999" customHeight="1">
      <c r="A85" s="43" t="str">
        <f>Acc!A85</f>
        <v>Enable</v>
      </c>
      <c r="B85" s="114" t="str">
        <f>Acc!B85</f>
        <v>test-cva10cl</v>
      </c>
    </row>
    <row r="86" spans="1:37">
      <c r="A86" s="43" t="str">
        <f>Acc!A86</f>
        <v>Enable</v>
      </c>
      <c r="B86" s="114" t="str">
        <f>Acc!B86</f>
        <v>test-cvm4+cl</v>
      </c>
    </row>
  </sheetData>
  <autoFilter ref="A1:B86" xr:uid="{00000000-0009-0000-0000-00000D000000}"/>
  <mergeCells count="20">
    <mergeCell ref="AI65:AI83"/>
    <mergeCell ref="N57:N60"/>
    <mergeCell ref="Z57:Z61"/>
    <mergeCell ref="AB63:AB64"/>
    <mergeCell ref="R65:R83"/>
    <mergeCell ref="W65:W81"/>
    <mergeCell ref="AB65:AB82"/>
    <mergeCell ref="AF25:AF27"/>
    <mergeCell ref="AB29:AB33"/>
    <mergeCell ref="X32:X36"/>
    <mergeCell ref="AB35:AB44"/>
    <mergeCell ref="R54:R56"/>
    <mergeCell ref="AB54:AB61"/>
    <mergeCell ref="AE54:AE56"/>
    <mergeCell ref="AA1:AB1"/>
    <mergeCell ref="AA2:AA83"/>
    <mergeCell ref="AB3:AB11"/>
    <mergeCell ref="AB12:AB28"/>
    <mergeCell ref="T15:T23"/>
    <mergeCell ref="W24:W26"/>
  </mergeCells>
  <phoneticPr fontId="4"/>
  <conditionalFormatting sqref="AL1:FZ64 A2:B86 A109:XFD65577 C41:Z42 C24:Z24 C25:K25 C2:AA2 C27:Z31 C1:E1 C16:S23 C26:V26 C43:V53 D73:F73 C54:Z54 C32:U40 D59:M60 C59:C62 D61:T64 C55:M58 C3:T3 C65:T65 D83:O83 D66:O69 D71:O72 D75:O77 D78:F78 D79:O79 D81:Q82 C4:Z15">
    <cfRule type="expression" dxfId="89" priority="121" stopIfTrue="1">
      <formula>MOD(ROW(),2) = 1</formula>
    </cfRule>
  </conditionalFormatting>
  <conditionalFormatting sqref="AG1:AG26 AG28:AG58 AG62:AG64 AH1:AK64 AF1:AF25 AF28:AF64 AC1:AE11 AJ65:AK83 AC13:AE28 AC30:AE34 AC36:AE53 AC55:AE61 AC64:AE64 AB12:AE12 AB29:AE29 AB35:AE35 AB65:AI65 AB54:AE54 AB83 AB62:AE63 AC66:AH83 AB2:AB3 Y33:Z40 X25:Z26 X43:Z53 X66:Z81 V32:Z32 V33:V40 U3:Z3 V57:Y61 V62:Z65 V66:V81 V82:Z83 C63:C64 U16:Z23 S81:T81 S73:T73 S69:T69 S55:Z56 Q69 Q73 O55:Q56 O57:T60 M25:V25 H73:O73 G1:AA1 I52:J54 J63:J65">
    <cfRule type="expression" dxfId="88" priority="103" stopIfTrue="1">
      <formula>MOD(ROW(),2) = 1</formula>
    </cfRule>
  </conditionalFormatting>
  <conditionalFormatting sqref="Z57">
    <cfRule type="expression" dxfId="87" priority="102" stopIfTrue="1">
      <formula>MOD(ROW(),2) = 1</formula>
    </cfRule>
  </conditionalFormatting>
  <conditionalFormatting sqref="W43">
    <cfRule type="expression" dxfId="86" priority="101" stopIfTrue="1">
      <formula>MOD(ROW(),2) = 1</formula>
    </cfRule>
  </conditionalFormatting>
  <conditionalFormatting sqref="W44:W53">
    <cfRule type="expression" dxfId="85" priority="100" stopIfTrue="1">
      <formula>MOD(ROW(),2) = 1</formula>
    </cfRule>
  </conditionalFormatting>
  <conditionalFormatting sqref="W33:W34">
    <cfRule type="expression" dxfId="84" priority="99" stopIfTrue="1">
      <formula>MOD(ROW(),2) = 1</formula>
    </cfRule>
  </conditionalFormatting>
  <conditionalFormatting sqref="U57:U62">
    <cfRule type="expression" dxfId="83" priority="97" stopIfTrue="1">
      <formula>MOD(ROW(),2) = 1</formula>
    </cfRule>
  </conditionalFormatting>
  <conditionalFormatting sqref="U63:U65">
    <cfRule type="expression" dxfId="82" priority="96" stopIfTrue="1">
      <formula>MOD(ROW(),2) = 1</formula>
    </cfRule>
  </conditionalFormatting>
  <conditionalFormatting sqref="U66:U68">
    <cfRule type="expression" dxfId="81" priority="95" stopIfTrue="1">
      <formula>MOD(ROW(),2) = 1</formula>
    </cfRule>
  </conditionalFormatting>
  <conditionalFormatting sqref="U69:U71">
    <cfRule type="expression" dxfId="80" priority="94" stopIfTrue="1">
      <formula>MOD(ROW(),2) = 1</formula>
    </cfRule>
  </conditionalFormatting>
  <conditionalFormatting sqref="U72 U74">
    <cfRule type="expression" dxfId="79" priority="93" stopIfTrue="1">
      <formula>MOD(ROW(),2) = 1</formula>
    </cfRule>
  </conditionalFormatting>
  <conditionalFormatting sqref="U75:U77">
    <cfRule type="expression" dxfId="78" priority="92" stopIfTrue="1">
      <formula>MOD(ROW(),2) = 1</formula>
    </cfRule>
  </conditionalFormatting>
  <conditionalFormatting sqref="U78:U80">
    <cfRule type="expression" dxfId="77" priority="91" stopIfTrue="1">
      <formula>MOD(ROW(),2) = 1</formula>
    </cfRule>
  </conditionalFormatting>
  <conditionalFormatting sqref="C69">
    <cfRule type="expression" dxfId="76" priority="66" stopIfTrue="1">
      <formula>MOD(ROW(),2) = 1</formula>
    </cfRule>
  </conditionalFormatting>
  <conditionalFormatting sqref="C73">
    <cfRule type="expression" dxfId="75" priority="65" stopIfTrue="1">
      <formula>MOD(ROW(),2) = 1</formula>
    </cfRule>
  </conditionalFormatting>
  <conditionalFormatting sqref="C81">
    <cfRule type="expression" dxfId="74" priority="64" stopIfTrue="1">
      <formula>MOD(ROW(),2) = 1</formula>
    </cfRule>
  </conditionalFormatting>
  <conditionalFormatting sqref="C82">
    <cfRule type="expression" dxfId="73" priority="63" stopIfTrue="1">
      <formula>MOD(ROW(),2) = 1</formula>
    </cfRule>
  </conditionalFormatting>
  <conditionalFormatting sqref="C83">
    <cfRule type="expression" dxfId="72" priority="62" stopIfTrue="1">
      <formula>MOD(ROW(),2) = 1</formula>
    </cfRule>
  </conditionalFormatting>
  <conditionalFormatting sqref="C66">
    <cfRule type="expression" dxfId="71" priority="60" stopIfTrue="1">
      <formula>MOD(ROW(),2) = 1</formula>
    </cfRule>
  </conditionalFormatting>
  <conditionalFormatting sqref="C67">
    <cfRule type="expression" dxfId="70" priority="59" stopIfTrue="1">
      <formula>MOD(ROW(),2) = 1</formula>
    </cfRule>
  </conditionalFormatting>
  <conditionalFormatting sqref="C68">
    <cfRule type="expression" dxfId="69" priority="58" stopIfTrue="1">
      <formula>MOD(ROW(),2) = 1</formula>
    </cfRule>
  </conditionalFormatting>
  <conditionalFormatting sqref="C70">
    <cfRule type="expression" dxfId="68" priority="57" stopIfTrue="1">
      <formula>MOD(ROW(),2) = 1</formula>
    </cfRule>
  </conditionalFormatting>
  <conditionalFormatting sqref="C71">
    <cfRule type="expression" dxfId="67" priority="56" stopIfTrue="1">
      <formula>MOD(ROW(),2) = 1</formula>
    </cfRule>
  </conditionalFormatting>
  <conditionalFormatting sqref="C72">
    <cfRule type="expression" dxfId="66" priority="55" stopIfTrue="1">
      <formula>MOD(ROW(),2) = 1</formula>
    </cfRule>
  </conditionalFormatting>
  <conditionalFormatting sqref="U73">
    <cfRule type="expression" dxfId="65" priority="54" stopIfTrue="1">
      <formula>MOD(ROW(),2) = 1</formula>
    </cfRule>
  </conditionalFormatting>
  <conditionalFormatting sqref="C74">
    <cfRule type="expression" dxfId="64" priority="53" stopIfTrue="1">
      <formula>MOD(ROW(),2) = 1</formula>
    </cfRule>
  </conditionalFormatting>
  <conditionalFormatting sqref="C75">
    <cfRule type="expression" dxfId="63" priority="52" stopIfTrue="1">
      <formula>MOD(ROW(),2) = 1</formula>
    </cfRule>
  </conditionalFormatting>
  <conditionalFormatting sqref="C76">
    <cfRule type="expression" dxfId="62" priority="51" stopIfTrue="1">
      <formula>MOD(ROW(),2) = 1</formula>
    </cfRule>
  </conditionalFormatting>
  <conditionalFormatting sqref="C77">
    <cfRule type="expression" dxfId="61" priority="50" stopIfTrue="1">
      <formula>MOD(ROW(),2) = 1</formula>
    </cfRule>
  </conditionalFormatting>
  <conditionalFormatting sqref="C78">
    <cfRule type="expression" dxfId="60" priority="49" stopIfTrue="1">
      <formula>MOD(ROW(),2) = 1</formula>
    </cfRule>
  </conditionalFormatting>
  <conditionalFormatting sqref="C79">
    <cfRule type="expression" dxfId="59" priority="48" stopIfTrue="1">
      <formula>MOD(ROW(),2) = 1</formula>
    </cfRule>
  </conditionalFormatting>
  <conditionalFormatting sqref="C80">
    <cfRule type="expression" dxfId="58" priority="47" stopIfTrue="1">
      <formula>MOD(ROW(),2) = 1</formula>
    </cfRule>
  </conditionalFormatting>
  <conditionalFormatting sqref="U81">
    <cfRule type="expression" dxfId="57" priority="46" stopIfTrue="1">
      <formula>MOD(ROW(),2) = 1</formula>
    </cfRule>
  </conditionalFormatting>
  <conditionalFormatting sqref="U82">
    <cfRule type="expression" dxfId="56" priority="45" stopIfTrue="1">
      <formula>MOD(ROW(),2) = 1</formula>
    </cfRule>
  </conditionalFormatting>
  <conditionalFormatting sqref="U83">
    <cfRule type="expression" dxfId="55" priority="44" stopIfTrue="1">
      <formula>MOD(ROW(),2) = 1</formula>
    </cfRule>
  </conditionalFormatting>
  <conditionalFormatting sqref="S83:T83 Q83">
    <cfRule type="expression" dxfId="54" priority="42" stopIfTrue="1">
      <formula>MOD(ROW(),2) = 1</formula>
    </cfRule>
  </conditionalFormatting>
  <conditionalFormatting sqref="S66:T66 Q66">
    <cfRule type="expression" dxfId="53" priority="41" stopIfTrue="1">
      <formula>MOD(ROW(),2) = 1</formula>
    </cfRule>
  </conditionalFormatting>
  <conditionalFormatting sqref="S67:T67 Q67">
    <cfRule type="expression" dxfId="52" priority="40" stopIfTrue="1">
      <formula>MOD(ROW(),2) = 1</formula>
    </cfRule>
  </conditionalFormatting>
  <conditionalFormatting sqref="S68:T68 Q68">
    <cfRule type="expression" dxfId="51" priority="39" stopIfTrue="1">
      <formula>MOD(ROW(),2) = 1</formula>
    </cfRule>
  </conditionalFormatting>
  <conditionalFormatting sqref="S70:T70 Q70 H70:O70 E70:F70">
    <cfRule type="expression" dxfId="50" priority="38" stopIfTrue="1">
      <formula>MOD(ROW(),2) = 1</formula>
    </cfRule>
  </conditionalFormatting>
  <conditionalFormatting sqref="S71:T71 Q71">
    <cfRule type="expression" dxfId="49" priority="37" stopIfTrue="1">
      <formula>MOD(ROW(),2) = 1</formula>
    </cfRule>
  </conditionalFormatting>
  <conditionalFormatting sqref="S72:T72 Q72">
    <cfRule type="expression" dxfId="48" priority="36" stopIfTrue="1">
      <formula>MOD(ROW(),2) = 1</formula>
    </cfRule>
  </conditionalFormatting>
  <conditionalFormatting sqref="S74:T74 Q74 E74:O74">
    <cfRule type="expression" dxfId="47" priority="35" stopIfTrue="1">
      <formula>MOD(ROW(),2) = 1</formula>
    </cfRule>
  </conditionalFormatting>
  <conditionalFormatting sqref="S75:T75 Q75">
    <cfRule type="expression" dxfId="46" priority="34" stopIfTrue="1">
      <formula>MOD(ROW(),2) = 1</formula>
    </cfRule>
  </conditionalFormatting>
  <conditionalFormatting sqref="S76:T76 Q76">
    <cfRule type="expression" dxfId="45" priority="33" stopIfTrue="1">
      <formula>MOD(ROW(),2) = 1</formula>
    </cfRule>
  </conditionalFormatting>
  <conditionalFormatting sqref="S77:T77 Q77">
    <cfRule type="expression" dxfId="44" priority="32" stopIfTrue="1">
      <formula>MOD(ROW(),2) = 1</formula>
    </cfRule>
  </conditionalFormatting>
  <conditionalFormatting sqref="S78:T78 Q78 H78:O78">
    <cfRule type="expression" dxfId="43" priority="31" stopIfTrue="1">
      <formula>MOD(ROW(),2) = 1</formula>
    </cfRule>
  </conditionalFormatting>
  <conditionalFormatting sqref="S79:T79 Q79">
    <cfRule type="expression" dxfId="42" priority="30" stopIfTrue="1">
      <formula>MOD(ROW(),2) = 1</formula>
    </cfRule>
  </conditionalFormatting>
  <conditionalFormatting sqref="S80:T80 E80:Q80">
    <cfRule type="expression" dxfId="41" priority="29" stopIfTrue="1">
      <formula>MOD(ROW(),2) = 1</formula>
    </cfRule>
  </conditionalFormatting>
  <conditionalFormatting sqref="S82:T82">
    <cfRule type="expression" dxfId="40" priority="28" stopIfTrue="1">
      <formula>MOD(ROW(),2) = 1</formula>
    </cfRule>
  </conditionalFormatting>
  <conditionalFormatting sqref="P66">
    <cfRule type="expression" dxfId="39" priority="23" stopIfTrue="1">
      <formula>MOD(ROW(),2) = 1</formula>
    </cfRule>
  </conditionalFormatting>
  <conditionalFormatting sqref="P67">
    <cfRule type="expression" dxfId="38" priority="22" stopIfTrue="1">
      <formula>MOD(ROW(),2) = 1</formula>
    </cfRule>
  </conditionalFormatting>
  <conditionalFormatting sqref="P68">
    <cfRule type="expression" dxfId="37" priority="21" stopIfTrue="1">
      <formula>MOD(ROW(),2) = 1</formula>
    </cfRule>
  </conditionalFormatting>
  <conditionalFormatting sqref="P69">
    <cfRule type="expression" dxfId="36" priority="20" stopIfTrue="1">
      <formula>MOD(ROW(),2) = 1</formula>
    </cfRule>
  </conditionalFormatting>
  <conditionalFormatting sqref="P70">
    <cfRule type="expression" dxfId="35" priority="19" stopIfTrue="1">
      <formula>MOD(ROW(),2) = 1</formula>
    </cfRule>
  </conditionalFormatting>
  <conditionalFormatting sqref="P71">
    <cfRule type="expression" dxfId="34" priority="18" stopIfTrue="1">
      <formula>MOD(ROW(),2) = 1</formula>
    </cfRule>
  </conditionalFormatting>
  <conditionalFormatting sqref="P72">
    <cfRule type="expression" dxfId="33" priority="17" stopIfTrue="1">
      <formula>MOD(ROW(),2) = 1</formula>
    </cfRule>
  </conditionalFormatting>
  <conditionalFormatting sqref="P73">
    <cfRule type="expression" dxfId="32" priority="16" stopIfTrue="1">
      <formula>MOD(ROW(),2) = 1</formula>
    </cfRule>
  </conditionalFormatting>
  <conditionalFormatting sqref="P74">
    <cfRule type="expression" dxfId="31" priority="15" stopIfTrue="1">
      <formula>MOD(ROW(),2) = 1</formula>
    </cfRule>
  </conditionalFormatting>
  <conditionalFormatting sqref="P75">
    <cfRule type="expression" dxfId="30" priority="14" stopIfTrue="1">
      <formula>MOD(ROW(),2) = 1</formula>
    </cfRule>
  </conditionalFormatting>
  <conditionalFormatting sqref="P76">
    <cfRule type="expression" dxfId="29" priority="13" stopIfTrue="1">
      <formula>MOD(ROW(),2) = 1</formula>
    </cfRule>
  </conditionalFormatting>
  <conditionalFormatting sqref="P77">
    <cfRule type="expression" dxfId="28" priority="12" stopIfTrue="1">
      <formula>MOD(ROW(),2) = 1</formula>
    </cfRule>
  </conditionalFormatting>
  <conditionalFormatting sqref="P78">
    <cfRule type="expression" dxfId="27" priority="11" stopIfTrue="1">
      <formula>MOD(ROW(),2) = 1</formula>
    </cfRule>
  </conditionalFormatting>
  <conditionalFormatting sqref="P79">
    <cfRule type="expression" dxfId="26" priority="10" stopIfTrue="1">
      <formula>MOD(ROW(),2) = 1</formula>
    </cfRule>
  </conditionalFormatting>
  <conditionalFormatting sqref="P83">
    <cfRule type="expression" dxfId="25" priority="9" stopIfTrue="1">
      <formula>MOD(ROW(),2) = 1</formula>
    </cfRule>
  </conditionalFormatting>
  <conditionalFormatting sqref="G78">
    <cfRule type="expression" dxfId="24" priority="7" stopIfTrue="1">
      <formula>MOD(ROW(),2) = 1</formula>
    </cfRule>
  </conditionalFormatting>
  <conditionalFormatting sqref="G73">
    <cfRule type="expression" dxfId="23" priority="6" stopIfTrue="1">
      <formula>MOD(ROW(),2) = 1</formula>
    </cfRule>
  </conditionalFormatting>
  <conditionalFormatting sqref="G70">
    <cfRule type="expression" dxfId="22" priority="5" stopIfTrue="1">
      <formula>MOD(ROW(),2) = 1</formula>
    </cfRule>
  </conditionalFormatting>
  <conditionalFormatting sqref="F1">
    <cfRule type="expression" dxfId="21" priority="4" stopIfTrue="1">
      <formula>MOD(ROW(),2) = 1</formula>
    </cfRule>
  </conditionalFormatting>
  <conditionalFormatting sqref="D70">
    <cfRule type="expression" dxfId="20" priority="3" stopIfTrue="1">
      <formula>MOD(ROW(),2) = 1</formula>
    </cfRule>
  </conditionalFormatting>
  <conditionalFormatting sqref="D74">
    <cfRule type="expression" dxfId="19" priority="2" stopIfTrue="1">
      <formula>MOD(ROW(),2) = 1</formula>
    </cfRule>
  </conditionalFormatting>
  <conditionalFormatting sqref="D80">
    <cfRule type="expression" dxfId="18" priority="1" stopIfTrue="1">
      <formula>MOD(ROW(),2) = 1</formula>
    </cfRule>
  </conditionalFormatting>
  <pageMargins left="0.25" right="0.25" top="0.75" bottom="0.75" header="0.3" footer="0.3"/>
  <pageSetup paperSize="9" scale="13" fitToHeight="0" orientation="portrait" verticalDpi="1200"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AJ31"/>
  <sheetViews>
    <sheetView zoomScale="115" zoomScaleNormal="115" workbookViewId="0">
      <pane xSplit="2" ySplit="1" topLeftCell="C17" activePane="bottomRight" state="frozen"/>
      <selection pane="topRight" activeCell="C1" sqref="C1"/>
      <selection pane="bottomLeft" activeCell="A2" sqref="A2"/>
      <selection pane="bottomRight" activeCell="I1" sqref="I1"/>
    </sheetView>
  </sheetViews>
  <sheetFormatPr defaultColWidth="9.33203125" defaultRowHeight="12"/>
  <cols>
    <col min="1" max="1" width="9.33203125" style="8"/>
    <col min="2" max="2" width="23.33203125" style="8" customWidth="1"/>
    <col min="3" max="3" width="9.109375" style="112" bestFit="1" customWidth="1"/>
    <col min="4" max="4" width="13" style="8" bestFit="1" customWidth="1"/>
    <col min="5" max="5" width="9.109375" style="8" bestFit="1" customWidth="1"/>
    <col min="6" max="6" width="13.109375" style="8" bestFit="1" customWidth="1"/>
    <col min="7" max="7" width="14" style="8" bestFit="1" customWidth="1"/>
    <col min="8" max="8" width="10" style="113" bestFit="1" customWidth="1"/>
    <col min="9" max="9" width="10" style="8" customWidth="1"/>
    <col min="10" max="10" width="31.88671875" style="8" customWidth="1"/>
    <col min="11" max="11" width="25.33203125" style="8" customWidth="1"/>
    <col min="12" max="12" width="14.88671875" style="8" customWidth="1"/>
    <col min="13" max="13" width="17.88671875" style="8" customWidth="1"/>
    <col min="14" max="14" width="11" style="8" bestFit="1" customWidth="1"/>
    <col min="15" max="16384" width="9.33203125" style="8"/>
  </cols>
  <sheetData>
    <row r="1" spans="1:36" s="7" customFormat="1" ht="63.75" customHeight="1">
      <c r="A1" t="s">
        <v>337</v>
      </c>
      <c r="B1" t="s">
        <v>338</v>
      </c>
      <c r="C1" s="108" t="s">
        <v>396</v>
      </c>
      <c r="D1" s="109" t="s">
        <v>397</v>
      </c>
      <c r="E1" s="110" t="s">
        <v>398</v>
      </c>
      <c r="F1" s="109" t="s">
        <v>488</v>
      </c>
      <c r="G1" s="109" t="s">
        <v>399</v>
      </c>
      <c r="H1" s="111" t="s">
        <v>400</v>
      </c>
      <c r="I1" s="110" t="s">
        <v>853</v>
      </c>
      <c r="J1" s="118" t="s">
        <v>756</v>
      </c>
      <c r="K1" s="118" t="s">
        <v>655</v>
      </c>
      <c r="L1" s="118" t="s">
        <v>489</v>
      </c>
      <c r="M1" s="48">
        <v>42233</v>
      </c>
      <c r="N1" s="48">
        <v>42210</v>
      </c>
      <c r="O1" s="49" t="s">
        <v>401</v>
      </c>
      <c r="P1" s="49" t="s">
        <v>402</v>
      </c>
      <c r="Q1" s="49" t="s">
        <v>403</v>
      </c>
      <c r="R1" s="49" t="s">
        <v>404</v>
      </c>
      <c r="S1" s="49" t="s">
        <v>405</v>
      </c>
      <c r="T1" s="50" t="s">
        <v>406</v>
      </c>
      <c r="U1" s="50" t="s">
        <v>407</v>
      </c>
      <c r="V1" s="51" t="s">
        <v>408</v>
      </c>
      <c r="W1" s="52" t="s">
        <v>409</v>
      </c>
      <c r="X1" s="53">
        <v>41683</v>
      </c>
      <c r="Y1" s="53">
        <v>41659</v>
      </c>
      <c r="Z1" s="198" t="s">
        <v>410</v>
      </c>
      <c r="AA1" s="199"/>
      <c r="AB1" s="52" t="s">
        <v>411</v>
      </c>
      <c r="AC1" s="53">
        <v>41605</v>
      </c>
      <c r="AD1" s="54" t="s">
        <v>412</v>
      </c>
      <c r="AE1" s="54" t="s">
        <v>413</v>
      </c>
      <c r="AF1" s="54" t="s">
        <v>414</v>
      </c>
      <c r="AG1" s="53">
        <v>41462</v>
      </c>
      <c r="AH1" s="53">
        <v>41444</v>
      </c>
      <c r="AI1" s="53">
        <v>41442</v>
      </c>
      <c r="AJ1" s="52" t="s">
        <v>415</v>
      </c>
    </row>
    <row r="2" spans="1:36">
      <c r="A2" s="43" t="str">
        <f>SCSS!A2</f>
        <v>Enable</v>
      </c>
      <c r="B2" s="43" t="str">
        <f>SCSS!B2</f>
        <v>scm-s-inj-238-1</v>
      </c>
    </row>
    <row r="3" spans="1:36">
      <c r="A3" s="43" t="str">
        <f>SCSS!A3</f>
        <v>Enable</v>
      </c>
      <c r="B3" s="43" t="str">
        <f>SCSS!B3</f>
        <v>scm-s-inj-476-1</v>
      </c>
    </row>
    <row r="4" spans="1:36">
      <c r="A4" s="43" t="str">
        <f>SCSS!A4</f>
        <v>Enable</v>
      </c>
      <c r="B4" s="43" t="str">
        <f>SCSS!B4</f>
        <v>scm-s-inj-sb-1</v>
      </c>
    </row>
    <row r="5" spans="1:36">
      <c r="A5" s="43" t="e">
        <f>SCSS!#REF!</f>
        <v>#REF!</v>
      </c>
      <c r="B5" s="43" t="e">
        <f>SCSS!#REF!</f>
        <v>#REF!</v>
      </c>
    </row>
    <row r="6" spans="1:36">
      <c r="A6" s="43" t="str">
        <f>SCSS!A5</f>
        <v>Enable</v>
      </c>
      <c r="B6" s="43" t="str">
        <f>SCSS!B5</f>
        <v>scm-s-bc1-1</v>
      </c>
    </row>
    <row r="7" spans="1:36">
      <c r="A7" s="43" t="str">
        <f>SCSS!A6</f>
        <v>Enable</v>
      </c>
      <c r="B7" s="43" t="str">
        <f>SCSS!B6</f>
        <v>scm-s-bc1-2</v>
      </c>
    </row>
    <row r="8" spans="1:36">
      <c r="A8" s="43" t="str">
        <f>SCSS!A7</f>
        <v>Enable</v>
      </c>
      <c r="B8" s="43" t="str">
        <f>SCSS!B7</f>
        <v>scm-s-bc1-4</v>
      </c>
      <c r="K8" s="8" t="s">
        <v>491</v>
      </c>
    </row>
    <row r="9" spans="1:36">
      <c r="A9" s="43" t="str">
        <f>SCSS!A8</f>
        <v>Enable</v>
      </c>
      <c r="B9" s="43" t="str">
        <f>SCSS!B8</f>
        <v>scm-s-cb1-1</v>
      </c>
    </row>
    <row r="10" spans="1:36">
      <c r="A10" s="43" t="str">
        <f>SCSS!A9</f>
        <v>Enable</v>
      </c>
      <c r="B10" s="43" t="str">
        <f>SCSS!B9</f>
        <v>scm-s-bc2-1</v>
      </c>
    </row>
    <row r="11" spans="1:36">
      <c r="A11" s="43" t="str">
        <f>SCSS!A10</f>
        <v>Enable</v>
      </c>
      <c r="B11" s="43" t="str">
        <f>SCSS!B10</f>
        <v>scm-s-bc2-2</v>
      </c>
    </row>
    <row r="12" spans="1:36" ht="48">
      <c r="A12" s="43"/>
      <c r="B12" s="43" t="s">
        <v>763</v>
      </c>
      <c r="J12" s="136" t="s">
        <v>764</v>
      </c>
      <c r="K12" s="136"/>
    </row>
    <row r="13" spans="1:36">
      <c r="A13" s="43" t="str">
        <f>SCSS!A11</f>
        <v>Enable</v>
      </c>
      <c r="B13" s="43" t="str">
        <f>SCSS!B11</f>
        <v>scm-s-bc2-4</v>
      </c>
    </row>
    <row r="14" spans="1:36">
      <c r="A14" s="43" t="str">
        <f>SCSS!A12</f>
        <v>Enable</v>
      </c>
      <c r="B14" s="43" t="str">
        <f>SCSS!B12</f>
        <v>scm-s-cb2-1</v>
      </c>
    </row>
    <row r="15" spans="1:36">
      <c r="A15" s="43" t="str">
        <f>SCSS!A13</f>
        <v>Enable</v>
      </c>
      <c r="B15" s="43" t="str">
        <f>SCSS!B13</f>
        <v>scm-s-cb3-1</v>
      </c>
    </row>
    <row r="16" spans="1:36" ht="12" customHeight="1">
      <c r="A16" s="43" t="str">
        <f>SCSS!A14</f>
        <v>Enable</v>
      </c>
      <c r="B16" s="8" t="s">
        <v>208</v>
      </c>
      <c r="L16" s="8" t="s">
        <v>491</v>
      </c>
      <c r="U16" s="8" t="s">
        <v>446</v>
      </c>
      <c r="V16" s="8" t="s">
        <v>502</v>
      </c>
      <c r="AA16" s="8" t="s">
        <v>449</v>
      </c>
    </row>
    <row r="17" spans="1:28">
      <c r="A17" s="43" t="str">
        <f>SCSS!A15</f>
        <v>Enable</v>
      </c>
      <c r="B17" s="8" t="s">
        <v>503</v>
      </c>
      <c r="K17" s="112"/>
      <c r="L17" s="8" t="s">
        <v>491</v>
      </c>
      <c r="U17" s="8" t="s">
        <v>446</v>
      </c>
      <c r="V17" s="8" t="s">
        <v>502</v>
      </c>
    </row>
    <row r="18" spans="1:28" ht="60" customHeight="1">
      <c r="A18" s="43" t="str">
        <f>SCSS!A17</f>
        <v>Enable</v>
      </c>
      <c r="B18" s="8" t="s">
        <v>675</v>
      </c>
      <c r="K18" s="137" t="s">
        <v>672</v>
      </c>
      <c r="L18" s="8" t="s">
        <v>491</v>
      </c>
      <c r="Q18" s="8" t="s">
        <v>450</v>
      </c>
    </row>
    <row r="19" spans="1:28">
      <c r="A19" s="43" t="str">
        <f>SCSS!A18</f>
        <v>Enable</v>
      </c>
      <c r="B19" s="8" t="s">
        <v>504</v>
      </c>
      <c r="K19" s="137"/>
      <c r="M19" s="8" t="s">
        <v>451</v>
      </c>
    </row>
    <row r="20" spans="1:28">
      <c r="A20" s="43" t="str">
        <f>SCSS!A19</f>
        <v>Enable</v>
      </c>
      <c r="B20" s="8" t="s">
        <v>505</v>
      </c>
      <c r="K20" s="137"/>
    </row>
    <row r="21" spans="1:28">
      <c r="A21" s="43" t="str">
        <f>SCSS!A20</f>
        <v>Enable</v>
      </c>
      <c r="B21" s="8" t="s">
        <v>506</v>
      </c>
      <c r="K21" s="137"/>
      <c r="T21" s="8" t="s">
        <v>452</v>
      </c>
    </row>
    <row r="22" spans="1:28">
      <c r="A22" s="43" t="e">
        <f>SCSS!#REF!</f>
        <v>#REF!</v>
      </c>
      <c r="B22" s="8" t="s">
        <v>209</v>
      </c>
      <c r="K22" s="137"/>
      <c r="AB22" s="8" t="s">
        <v>433</v>
      </c>
    </row>
    <row r="23" spans="1:28">
      <c r="A23" s="43" t="str">
        <f>SCSS!A21</f>
        <v>Enable</v>
      </c>
      <c r="B23" s="8" t="s">
        <v>296</v>
      </c>
      <c r="K23" s="137"/>
      <c r="T23" s="8" t="s">
        <v>453</v>
      </c>
      <c r="U23" s="8" t="s">
        <v>446</v>
      </c>
    </row>
    <row r="24" spans="1:28">
      <c r="A24" s="43" t="str">
        <f>SCSS!A22</f>
        <v>Enable</v>
      </c>
      <c r="B24" s="8" t="s">
        <v>507</v>
      </c>
      <c r="K24" s="112" t="s">
        <v>673</v>
      </c>
      <c r="T24" s="8" t="s">
        <v>453</v>
      </c>
      <c r="V24" s="8" t="s">
        <v>502</v>
      </c>
    </row>
    <row r="25" spans="1:28">
      <c r="A25" s="43" t="str">
        <f>SCSS!A23</f>
        <v>Enable</v>
      </c>
      <c r="B25" s="8" t="s">
        <v>508</v>
      </c>
      <c r="K25" s="112" t="s">
        <v>673</v>
      </c>
      <c r="T25" s="8" t="s">
        <v>453</v>
      </c>
      <c r="U25" s="8" t="s">
        <v>446</v>
      </c>
      <c r="V25" s="8" t="s">
        <v>502</v>
      </c>
    </row>
    <row r="26" spans="1:28">
      <c r="K26" s="112"/>
    </row>
    <row r="31" spans="1:28" ht="120">
      <c r="K31" s="136" t="s">
        <v>674</v>
      </c>
    </row>
  </sheetData>
  <mergeCells count="1">
    <mergeCell ref="Z1:AA1"/>
  </mergeCells>
  <phoneticPr fontId="4"/>
  <conditionalFormatting sqref="A27:XFD65489 C2:HA7 B21:J25 A2:A25 C8:J8 L8:HA8 A26:J26 L21:XFD26 C9:HA15">
    <cfRule type="expression" dxfId="17" priority="37" stopIfTrue="1">
      <formula>MOD(ROW(),2) = 1</formula>
    </cfRule>
  </conditionalFormatting>
  <conditionalFormatting sqref="B2:B15">
    <cfRule type="expression" dxfId="16" priority="27" stopIfTrue="1">
      <formula>MOD(ROW(),2) = 1</formula>
    </cfRule>
  </conditionalFormatting>
  <conditionalFormatting sqref="AX1:HA1">
    <cfRule type="expression" dxfId="15" priority="14" stopIfTrue="1">
      <formula>MOD(ROW(),2) = 1</formula>
    </cfRule>
  </conditionalFormatting>
  <conditionalFormatting sqref="C1:I1">
    <cfRule type="expression" dxfId="14" priority="6" stopIfTrue="1">
      <formula>MOD(ROW(),2) = 1</formula>
    </cfRule>
  </conditionalFormatting>
  <conditionalFormatting sqref="AB1:AJ1 L1:Z1">
    <cfRule type="expression" dxfId="13" priority="3" stopIfTrue="1">
      <formula>MOD(ROW(),2) = 1</formula>
    </cfRule>
  </conditionalFormatting>
  <conditionalFormatting sqref="AK1:AW1">
    <cfRule type="expression" dxfId="12" priority="4" stopIfTrue="1">
      <formula>MOD(ROW(),2) = 1</formula>
    </cfRule>
  </conditionalFormatting>
  <conditionalFormatting sqref="K1">
    <cfRule type="expression" dxfId="11" priority="2" stopIfTrue="1">
      <formula>MOD(ROW(),2) = 1</formula>
    </cfRule>
  </conditionalFormatting>
  <conditionalFormatting sqref="J1">
    <cfRule type="expression" dxfId="10" priority="1" stopIfTrue="1">
      <formula>MOD(ROW(),2) = 1</formula>
    </cfRule>
  </conditionalFormatting>
  <pageMargins left="0.39370078740157483" right="0.39370078740157483" top="0.39370078740157483" bottom="0.39370078740157483" header="0.51181102362204722" footer="0.51181102362204722"/>
  <pageSetup paperSize="9" scale="80" orientation="portrait" verticalDpi="1200"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pageSetUpPr fitToPage="1"/>
  </sheetPr>
  <dimension ref="A1:M27"/>
  <sheetViews>
    <sheetView zoomScale="115" zoomScaleNormal="115" workbookViewId="0">
      <pane xSplit="2" ySplit="1" topLeftCell="K10" activePane="bottomRight" state="frozen"/>
      <selection pane="topRight" activeCell="C1" sqref="C1"/>
      <selection pane="bottomLeft" activeCell="A2" sqref="A2"/>
      <selection pane="bottomRight" activeCell="L25" sqref="L25"/>
    </sheetView>
  </sheetViews>
  <sheetFormatPr defaultColWidth="9.33203125" defaultRowHeight="12"/>
  <cols>
    <col min="1" max="1" width="9.33203125" style="8"/>
    <col min="2" max="2" width="32" style="8" customWidth="1"/>
    <col min="3" max="3" width="12.6640625" style="8" customWidth="1"/>
    <col min="4" max="4" width="11.109375" style="8" customWidth="1"/>
    <col min="5" max="11" width="9.33203125" style="8"/>
    <col min="12" max="12" width="23.33203125" style="8" customWidth="1"/>
    <col min="13" max="13" width="72.6640625" style="8" customWidth="1"/>
    <col min="14" max="16384" width="9.33203125" style="8"/>
  </cols>
  <sheetData>
    <row r="1" spans="1:12" s="129" customFormat="1" ht="63.75" customHeight="1" thickBot="1">
      <c r="A1" s="177" t="s">
        <v>337</v>
      </c>
      <c r="B1" s="177" t="s">
        <v>338</v>
      </c>
      <c r="C1" s="129" t="s">
        <v>1304</v>
      </c>
      <c r="D1" s="129" t="s">
        <v>1305</v>
      </c>
      <c r="E1" s="129" t="s">
        <v>1306</v>
      </c>
      <c r="F1" s="129" t="s">
        <v>1307</v>
      </c>
      <c r="G1" s="129" t="s">
        <v>1308</v>
      </c>
      <c r="H1" s="129" t="s">
        <v>1309</v>
      </c>
      <c r="I1" s="129" t="s">
        <v>1310</v>
      </c>
      <c r="K1" s="129" t="s">
        <v>1315</v>
      </c>
      <c r="L1" s="180" t="s">
        <v>1314</v>
      </c>
    </row>
    <row r="2" spans="1:12" ht="12.5" thickTop="1">
      <c r="A2" s="173" t="s">
        <v>26</v>
      </c>
      <c r="B2" s="141" t="s">
        <v>1245</v>
      </c>
    </row>
    <row r="3" spans="1:12">
      <c r="A3" s="173" t="s">
        <v>26</v>
      </c>
      <c r="B3" s="141" t="s">
        <v>1177</v>
      </c>
    </row>
    <row r="4" spans="1:12">
      <c r="A4" s="173" t="s">
        <v>26</v>
      </c>
      <c r="B4" s="141" t="s">
        <v>1178</v>
      </c>
    </row>
    <row r="5" spans="1:12">
      <c r="A5" s="173" t="s">
        <v>26</v>
      </c>
      <c r="B5" s="141" t="s">
        <v>1179</v>
      </c>
    </row>
    <row r="6" spans="1:12">
      <c r="A6" s="173" t="s">
        <v>26</v>
      </c>
      <c r="B6" s="141" t="s">
        <v>1180</v>
      </c>
    </row>
    <row r="7" spans="1:12">
      <c r="A7" s="173" t="s">
        <v>26</v>
      </c>
      <c r="B7" s="141" t="s">
        <v>1181</v>
      </c>
    </row>
    <row r="8" spans="1:12">
      <c r="A8" s="173" t="s">
        <v>26</v>
      </c>
      <c r="B8" s="141" t="s">
        <v>1182</v>
      </c>
      <c r="L8" s="8" t="s">
        <v>1317</v>
      </c>
    </row>
    <row r="9" spans="1:12">
      <c r="A9" s="173" t="s">
        <v>26</v>
      </c>
      <c r="B9" s="141" t="s">
        <v>1189</v>
      </c>
    </row>
    <row r="10" spans="1:12">
      <c r="A10" s="173" t="s">
        <v>26</v>
      </c>
      <c r="B10" s="141" t="s">
        <v>1190</v>
      </c>
    </row>
    <row r="11" spans="1:12">
      <c r="A11" s="173" t="s">
        <v>26</v>
      </c>
      <c r="B11" s="141" t="s">
        <v>1191</v>
      </c>
    </row>
    <row r="12" spans="1:12">
      <c r="A12" s="173" t="s">
        <v>26</v>
      </c>
      <c r="B12" s="141" t="s">
        <v>1192</v>
      </c>
    </row>
    <row r="13" spans="1:12">
      <c r="A13" s="173" t="s">
        <v>26</v>
      </c>
      <c r="B13" s="141" t="s">
        <v>1193</v>
      </c>
    </row>
    <row r="14" spans="1:12">
      <c r="A14" s="173" t="s">
        <v>26</v>
      </c>
      <c r="B14" s="141" t="s">
        <v>1194</v>
      </c>
    </row>
    <row r="15" spans="1:12">
      <c r="A15" s="173" t="s">
        <v>26</v>
      </c>
      <c r="B15" s="141" t="s">
        <v>1195</v>
      </c>
    </row>
    <row r="16" spans="1:12">
      <c r="A16" s="173" t="s">
        <v>26</v>
      </c>
      <c r="B16" s="175" t="s">
        <v>1003</v>
      </c>
    </row>
    <row r="17" spans="1:13">
      <c r="A17" s="173" t="s">
        <v>26</v>
      </c>
      <c r="B17" s="141" t="s">
        <v>1204</v>
      </c>
    </row>
    <row r="18" spans="1:13" ht="11.5" customHeight="1">
      <c r="A18" s="173" t="s">
        <v>26</v>
      </c>
      <c r="B18" s="141" t="s">
        <v>1205</v>
      </c>
      <c r="M18" s="136"/>
    </row>
    <row r="19" spans="1:13">
      <c r="A19" s="173" t="s">
        <v>26</v>
      </c>
      <c r="B19" s="141" t="s">
        <v>1206</v>
      </c>
    </row>
    <row r="20" spans="1:13">
      <c r="A20" s="173" t="s">
        <v>26</v>
      </c>
      <c r="B20" s="141" t="s">
        <v>1207</v>
      </c>
      <c r="L20" s="8" t="s">
        <v>1317</v>
      </c>
    </row>
    <row r="21" spans="1:13">
      <c r="A21" s="173" t="s">
        <v>26</v>
      </c>
      <c r="B21" s="175" t="s">
        <v>1004</v>
      </c>
    </row>
    <row r="22" spans="1:13">
      <c r="A22" s="173" t="s">
        <v>26</v>
      </c>
      <c r="B22" s="141" t="s">
        <v>1005</v>
      </c>
      <c r="G22" s="8" t="s">
        <v>1311</v>
      </c>
    </row>
    <row r="23" spans="1:13">
      <c r="A23" s="173" t="s">
        <v>26</v>
      </c>
      <c r="B23" s="141" t="s">
        <v>1006</v>
      </c>
      <c r="G23" s="8" t="s">
        <v>1311</v>
      </c>
    </row>
    <row r="27" spans="1:13">
      <c r="L27" s="8" t="s">
        <v>1316</v>
      </c>
    </row>
  </sheetData>
  <phoneticPr fontId="4"/>
  <conditionalFormatting sqref="A47:B65427 A2:A20 A23 C1:GX1 C2:XFD65427">
    <cfRule type="expression" dxfId="9" priority="117" stopIfTrue="1">
      <formula>MOD(ROW(),2) = 1</formula>
    </cfRule>
  </conditionalFormatting>
  <conditionalFormatting sqref="B21:B23">
    <cfRule type="expression" dxfId="8" priority="115" stopIfTrue="1">
      <formula>MOD(ROW(),2) = 1</formula>
    </cfRule>
  </conditionalFormatting>
  <conditionalFormatting sqref="A21">
    <cfRule type="expression" dxfId="7" priority="112" stopIfTrue="1">
      <formula>MOD(ROW(),2) = 1</formula>
    </cfRule>
  </conditionalFormatting>
  <conditionalFormatting sqref="A16">
    <cfRule type="expression" dxfId="6" priority="108" stopIfTrue="1">
      <formula>MOD(ROW(),2) = 1</formula>
    </cfRule>
  </conditionalFormatting>
  <conditionalFormatting sqref="B16">
    <cfRule type="expression" dxfId="5" priority="107" stopIfTrue="1">
      <formula>MOD(ROW(),2) = 1</formula>
    </cfRule>
  </conditionalFormatting>
  <conditionalFormatting sqref="A22">
    <cfRule type="expression" dxfId="4" priority="100" stopIfTrue="1">
      <formula>MOD(ROW(),2) = 1</formula>
    </cfRule>
  </conditionalFormatting>
  <conditionalFormatting sqref="B2 B4 B6 B8 B10 B12 B14">
    <cfRule type="expression" dxfId="3" priority="42" stopIfTrue="1">
      <formula>MOD(ROW(),2) = 1</formula>
    </cfRule>
  </conditionalFormatting>
  <conditionalFormatting sqref="B3 B5 B7 B9 B11 B13 B15:B16">
    <cfRule type="expression" dxfId="2" priority="41" stopIfTrue="1">
      <formula>MOD(ROW(),2) = 1</formula>
    </cfRule>
  </conditionalFormatting>
  <conditionalFormatting sqref="B17 B19">
    <cfRule type="expression" dxfId="1" priority="40" stopIfTrue="1">
      <formula>MOD(ROW(),2) = 1</formula>
    </cfRule>
  </conditionalFormatting>
  <conditionalFormatting sqref="B18 B20">
    <cfRule type="expression" dxfId="0" priority="39" stopIfTrue="1">
      <formula>MOD(ROW(),2) = 1</formula>
    </cfRule>
  </conditionalFormatting>
  <pageMargins left="0.39370078740157483" right="0.39370078740157483" top="0.39370078740157483" bottom="0.39370078740157483" header="0.51181102362204722" footer="0.51181102362204722"/>
  <pageSetup paperSize="9" scale="17" fitToHeight="0" orientation="landscape"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5777" r:id="rId4" name="Button 1">
              <controlPr defaultSize="0" print="0" autoFill="0" autoPict="0" macro="[0]!Coloring">
                <anchor moveWithCells="1" sizeWithCells="1">
                  <from>
                    <xdr:col>1</xdr:col>
                    <xdr:colOff>260350</xdr:colOff>
                    <xdr:row>0</xdr:row>
                    <xdr:rowOff>31750</xdr:rowOff>
                  </from>
                  <to>
                    <xdr:col>1</xdr:col>
                    <xdr:colOff>984250</xdr:colOff>
                    <xdr:row>0</xdr:row>
                    <xdr:rowOff>228600</xdr:rowOff>
                  </to>
                </anchor>
              </controlPr>
            </control>
          </mc:Choice>
        </mc:AlternateContent>
        <mc:AlternateContent xmlns:mc="http://schemas.openxmlformats.org/markup-compatibility/2006">
          <mc:Choice Requires="x14">
            <control shapeId="75778" r:id="rId5" name="Button 2">
              <controlPr defaultSize="0" print="0" autoFill="0" autoPict="0" macro="[0]!Coloring">
                <anchor moveWithCells="1" sizeWithCells="1">
                  <from>
                    <xdr:col>1</xdr:col>
                    <xdr:colOff>1035050</xdr:colOff>
                    <xdr:row>0</xdr:row>
                    <xdr:rowOff>31750</xdr:rowOff>
                  </from>
                  <to>
                    <xdr:col>2</xdr:col>
                    <xdr:colOff>0</xdr:colOff>
                    <xdr:row>0</xdr:row>
                    <xdr:rowOff>292100</xdr:rowOff>
                  </to>
                </anchor>
              </controlPr>
            </control>
          </mc:Choice>
        </mc:AlternateContent>
        <mc:AlternateContent xmlns:mc="http://schemas.openxmlformats.org/markup-compatibility/2006">
          <mc:Choice Requires="x14">
            <control shapeId="75779" r:id="rId6" name="Button 3">
              <controlPr defaultSize="0" print="0" autoFill="0" autoPict="0" macro="[0]!WRITE_CSVFile3">
                <anchor moveWithCells="1" sizeWithCells="1">
                  <from>
                    <xdr:col>1</xdr:col>
                    <xdr:colOff>76200</xdr:colOff>
                    <xdr:row>0</xdr:row>
                    <xdr:rowOff>31750</xdr:rowOff>
                  </from>
                  <to>
                    <xdr:col>1</xdr:col>
                    <xdr:colOff>1016000</xdr:colOff>
                    <xdr:row>0</xdr:row>
                    <xdr:rowOff>292100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
  <dimension ref="C2:P27"/>
  <sheetViews>
    <sheetView topLeftCell="A10" workbookViewId="0">
      <selection activeCell="F13" sqref="F13"/>
    </sheetView>
  </sheetViews>
  <sheetFormatPr defaultColWidth="9.33203125" defaultRowHeight="13"/>
  <cols>
    <col min="1" max="3" width="9.33203125" style="13"/>
    <col min="4" max="4" width="9.44140625" style="13" bestFit="1" customWidth="1"/>
    <col min="5" max="10" width="9.33203125" style="13"/>
    <col min="11" max="11" width="14.44140625" style="13" bestFit="1" customWidth="1"/>
    <col min="12" max="12" width="13.33203125" style="13" customWidth="1"/>
    <col min="13" max="16384" width="9.33203125" style="13"/>
  </cols>
  <sheetData>
    <row r="2" spans="3:11">
      <c r="C2" s="13" t="s">
        <v>130</v>
      </c>
    </row>
    <row r="3" spans="3:11">
      <c r="K3" s="14"/>
    </row>
    <row r="5" spans="3:11">
      <c r="K5" s="14"/>
    </row>
    <row r="10" spans="3:11">
      <c r="C10" s="13" t="s">
        <v>521</v>
      </c>
      <c r="D10" s="13">
        <v>90</v>
      </c>
      <c r="E10" s="13" t="s">
        <v>161</v>
      </c>
    </row>
    <row r="19" spans="4:16">
      <c r="D19" s="183"/>
      <c r="E19" s="184" t="s">
        <v>880</v>
      </c>
      <c r="F19" s="184" t="s">
        <v>881</v>
      </c>
      <c r="G19" s="196"/>
      <c r="K19" s="183"/>
      <c r="L19" s="184" t="s">
        <v>880</v>
      </c>
      <c r="M19" s="184" t="s">
        <v>881</v>
      </c>
      <c r="N19" s="184"/>
      <c r="O19" s="185"/>
    </row>
    <row r="20" spans="4:16">
      <c r="D20" s="186">
        <v>1</v>
      </c>
      <c r="E20" s="187">
        <v>892</v>
      </c>
      <c r="F20" s="187">
        <v>355</v>
      </c>
      <c r="G20" s="189"/>
      <c r="K20" s="186">
        <v>1</v>
      </c>
      <c r="L20" s="187">
        <v>892</v>
      </c>
      <c r="M20" s="187">
        <v>355</v>
      </c>
      <c r="N20" s="187"/>
      <c r="O20" s="188"/>
    </row>
    <row r="21" spans="4:16">
      <c r="D21" s="186">
        <v>2</v>
      </c>
      <c r="E21" s="187">
        <v>1200</v>
      </c>
      <c r="F21" s="187">
        <v>819</v>
      </c>
      <c r="G21" s="189"/>
      <c r="K21" s="186">
        <v>2</v>
      </c>
      <c r="L21" s="187">
        <v>1200</v>
      </c>
      <c r="M21" s="187">
        <v>819</v>
      </c>
      <c r="N21" s="187"/>
      <c r="O21" s="188"/>
    </row>
    <row r="22" spans="4:16">
      <c r="D22" s="186" t="s">
        <v>1040</v>
      </c>
      <c r="E22" s="187">
        <f>E20+(E21-E20)/2</f>
        <v>1046</v>
      </c>
      <c r="F22" s="187">
        <f>F20+(F21-F20)/2</f>
        <v>587</v>
      </c>
      <c r="G22" s="189"/>
      <c r="K22" s="186" t="s">
        <v>1040</v>
      </c>
      <c r="L22" s="187">
        <f>L20+(L21-L20)/2</f>
        <v>1046</v>
      </c>
      <c r="M22" s="187">
        <f>M20+(M21-M20)/2</f>
        <v>587</v>
      </c>
      <c r="N22" s="187"/>
      <c r="O22" s="188"/>
    </row>
    <row r="23" spans="4:16">
      <c r="D23" s="186"/>
      <c r="E23" s="187" t="s">
        <v>882</v>
      </c>
      <c r="F23" s="187">
        <f>SQRT((E21-E20)^2+(F21-F20)^2)</f>
        <v>556.92010198950436</v>
      </c>
      <c r="G23" s="189" t="s">
        <v>883</v>
      </c>
      <c r="K23" s="186"/>
      <c r="L23" s="187" t="s">
        <v>882</v>
      </c>
      <c r="M23" s="187">
        <f>M21-M20</f>
        <v>464</v>
      </c>
      <c r="N23" s="187" t="s">
        <v>883</v>
      </c>
      <c r="O23" s="188" t="s">
        <v>1330</v>
      </c>
    </row>
    <row r="24" spans="4:16">
      <c r="D24" s="186"/>
      <c r="E24" s="187" t="s">
        <v>882</v>
      </c>
      <c r="F24" s="187">
        <v>60000</v>
      </c>
      <c r="G24" s="189" t="s">
        <v>884</v>
      </c>
      <c r="K24" s="186"/>
      <c r="L24" s="187" t="s">
        <v>882</v>
      </c>
      <c r="M24" s="187">
        <v>6000</v>
      </c>
      <c r="N24" s="187" t="s">
        <v>884</v>
      </c>
      <c r="O24" s="188"/>
    </row>
    <row r="25" spans="4:16">
      <c r="D25" s="186"/>
      <c r="E25" s="187" t="s">
        <v>885</v>
      </c>
      <c r="F25" s="187">
        <f>F24/F23</f>
        <v>107.73538212332431</v>
      </c>
      <c r="G25" s="189" t="s">
        <v>886</v>
      </c>
      <c r="K25" s="186"/>
      <c r="L25" s="187" t="s">
        <v>885</v>
      </c>
      <c r="M25" s="187">
        <f>M24/M23</f>
        <v>12.931034482758621</v>
      </c>
      <c r="N25" s="187" t="s">
        <v>886</v>
      </c>
      <c r="O25" s="189"/>
      <c r="P25"/>
    </row>
    <row r="26" spans="4:16">
      <c r="D26" s="190"/>
      <c r="E26" s="187" t="s">
        <v>1041</v>
      </c>
      <c r="F26" s="191">
        <f>F24/(E21-E20)</f>
        <v>194.80519480519482</v>
      </c>
      <c r="G26" s="188"/>
      <c r="K26" s="190"/>
      <c r="L26" s="187" t="s">
        <v>1041</v>
      </c>
      <c r="M26" s="191">
        <f>M24/(L21-L20)</f>
        <v>19.480519480519479</v>
      </c>
      <c r="N26" s="191"/>
      <c r="O26" s="188"/>
    </row>
    <row r="27" spans="4:16">
      <c r="D27" s="192"/>
      <c r="E27" s="193" t="s">
        <v>1042</v>
      </c>
      <c r="F27" s="194">
        <f>F24/(F21-F20)</f>
        <v>129.31034482758622</v>
      </c>
      <c r="G27" s="195"/>
      <c r="K27" s="192"/>
      <c r="L27" s="193" t="s">
        <v>1042</v>
      </c>
      <c r="M27" s="194">
        <f>M24/(M21-M20)</f>
        <v>12.931034482758621</v>
      </c>
      <c r="N27" s="194"/>
      <c r="O27" s="195"/>
    </row>
  </sheetData>
  <phoneticPr fontId="4"/>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17</vt:i4>
      </vt:variant>
    </vt:vector>
  </HeadingPairs>
  <TitlesOfParts>
    <vt:vector size="17" baseType="lpstr">
      <vt:lpstr>Acc</vt:lpstr>
      <vt:lpstr>Acc_Qt</vt:lpstr>
      <vt:lpstr>Acc_ginfo</vt:lpstr>
      <vt:lpstr>SCSS</vt:lpstr>
      <vt:lpstr>SCSS_GigE</vt:lpstr>
      <vt:lpstr>SCSS_GigE_ginfo</vt:lpstr>
      <vt:lpstr>Exp</vt:lpstr>
      <vt:lpstr>Streak</vt:lpstr>
      <vt:lpstr>Gate</vt:lpstr>
      <vt:lpstr>SR</vt:lpstr>
      <vt:lpstr>SR_GigE</vt:lpstr>
      <vt:lpstr>SR_GigE_ginfo</vt:lpstr>
      <vt:lpstr>変更履歴</vt:lpstr>
      <vt:lpstr>Acc動作確認</vt:lpstr>
      <vt:lpstr>SCSS動作確認</vt:lpstr>
      <vt:lpstr>SCSS_GigE動作確認</vt:lpstr>
      <vt:lpstr>メモ</vt:lpstr>
    </vt:vector>
  </TitlesOfParts>
  <Company>自宅</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井上治</dc:creator>
  <cp:lastModifiedBy>kenichi</cp:lastModifiedBy>
  <cp:lastPrinted>2020-03-13T00:42:23Z</cp:lastPrinted>
  <dcterms:created xsi:type="dcterms:W3CDTF">2003-07-25T03:04:54Z</dcterms:created>
  <dcterms:modified xsi:type="dcterms:W3CDTF">2022-04-01T17:59:32Z</dcterms:modified>
</cp:coreProperties>
</file>